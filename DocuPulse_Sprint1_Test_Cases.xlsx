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Test Cases" sheetId="2" state="visible" r:id="rId4"/>
    <sheet name="Notes &amp; Assumptions" sheetId="3" state="visible" r:id="rId5"/>
  </sheets>
  <definedNames>
    <definedName function="false" hidden="false" localSheetId="1" name="_xlnm.Print_Titles" vbProcedure="false">'Test Cases'!$4:$4</definedName>
    <definedName function="false" hidden="true" localSheetId="1" name="_xlnm._FilterDatabase" vbProcedure="false">'Test Cases'!$A$4:$Q$75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<sst xmlns="http://schemas.openxmlformats.org/spreadsheetml/2006/main" count="993" uniqueCount="480">
  <si>
    <t xml:space="preserve">Sprint 1 Test Case Summary</t>
  </si>
  <si>
    <t xml:space="preserve">Backlog ID</t>
  </si>
  <si>
    <t xml:space="preserve">Story</t>
  </si>
  <si>
    <t xml:space="preserve">Positive</t>
  </si>
  <si>
    <t xml:space="preserve">Negative</t>
  </si>
  <si>
    <t xml:space="preserve">Exception</t>
  </si>
  <si>
    <t xml:space="preserve">Total</t>
  </si>
  <si>
    <t xml:space="preserve">Pass</t>
  </si>
  <si>
    <t xml:space="preserve">Fail</t>
  </si>
  <si>
    <t xml:space="preserve">Blocked</t>
  </si>
  <si>
    <t xml:space="preserve">Not Run</t>
  </si>
  <si>
    <t xml:space="preserve">DP-00</t>
  </si>
  <si>
    <t xml:space="preserve">User account creation &amp; sign-in</t>
  </si>
  <si>
    <t xml:space="preserve">DP-01</t>
  </si>
  <si>
    <t xml:space="preserve">Submit requisition form digitally</t>
  </si>
  <si>
    <t xml:space="preserve">DP-02</t>
  </si>
  <si>
    <t xml:space="preserve">Automatic requisition validation</t>
  </si>
  <si>
    <t xml:space="preserve">DP-03</t>
  </si>
  <si>
    <t xml:space="preserve">Attach supporting documents</t>
  </si>
  <si>
    <t xml:space="preserve">DP-04</t>
  </si>
  <si>
    <t xml:space="preserve">View previous requisitions</t>
  </si>
  <si>
    <t xml:space="preserve">DP-05</t>
  </si>
  <si>
    <t xml:space="preserve">Real-time requisition tracking</t>
  </si>
  <si>
    <t xml:space="preserve">DP-06</t>
  </si>
  <si>
    <t xml:space="preserve">View approval chain</t>
  </si>
  <si>
    <t xml:space="preserve">DP-07</t>
  </si>
  <si>
    <t xml:space="preserve">QR code scan (phygital sync)</t>
  </si>
  <si>
    <t xml:space="preserve">DP-08</t>
  </si>
  <si>
    <t xml:space="preserve">Dept Head review &amp; notifications</t>
  </si>
  <si>
    <t xml:space="preserve">TOTAL</t>
  </si>
  <si>
    <t xml:space="preserve">Pass rate (of executed)</t>
  </si>
  <si>
    <t xml:space="preserve">Execution progress</t>
  </si>
  <si>
    <t xml:space="preserve">DocuPulse – Sprint 1 Test Cases (DP-00 to DP-08)</t>
  </si>
  <si>
    <t xml:space="preserve">Product: DocuPulse: An AI-Assisted Phygital Document Tracking System  |  Sprint 1: 21 Sep – 2 Oct 2026  |  Source: Product Backlog (Sprint file) + Fully Dressed Use Cases (MSYADD1 documentation)</t>
  </si>
  <si>
    <t xml:space="preserve">Test Case ID</t>
  </si>
  <si>
    <t xml:space="preserve">Epic</t>
  </si>
  <si>
    <t xml:space="preserve">Use Case / Feature</t>
  </si>
  <si>
    <t xml:space="preserve">Test Scenario</t>
  </si>
  <si>
    <t xml:space="preserve">Type</t>
  </si>
  <si>
    <t xml:space="preserve">Priority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</si>
  <si>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</si>
  <si>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</si>
  <si>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</si>
  <si>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</si>
  <si>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 / Source Ref</t>
  </si>
  <si>
    <t xml:space="preserve">Actual Result</t>
  </si>
  <si>
    <t xml:space="preserve">Status</t>
  </si>
  <si>
    <t xml:space="preserve">Tested By</t>
  </si>
  <si>
    <t xml:space="preserve">Date Tested</t>
  </si>
  <si>
    <t xml:space="preserve">Remarks</t>
  </si>
  <si>
    <t xml:space="preserve">TC-DP00-01</t>
  </si>
  <si>
    <t xml:space="preserve">Auth &amp; Account Creation</t>
  </si>
  <si>
    <t xml:space="preserve">User Registration / Login</t>
  </si>
  <si>
    <t xml:space="preserve">Register with valid institutional credentials and department</t>
  </si>
  <si>
    <t xml:space="preserve">High</t>
  </si>
  <si>
    <t xml:space="preserve">User is on the registration page; email not yet registered.</t>
  </si>
  <si>
    <t xml:space="preserve">1. Open Register page.
2. Enter name, institutional email, password.
3. Select a department.
4. Tick the terms agreement.
5. Click Register.</t>
  </si>
  <si>
    <t xml:space="preserve">Email: juan.delacruz@apc.edu.ph | Password: Docu@Pulse1 | Dept: Logistics</t>
  </si>
  <si>
    <t xml:space="preserve">Account is created; user is assigned the default Requestor role (or assigned role) and linked to the selected department; success message shown.</t>
  </si>
  <si>
    <t xml:space="preserve">AC1, AC3</t>
  </si>
  <si>
    <t xml:space="preserve">TC-DP00-02</t>
  </si>
  <si>
    <t xml:space="preserve">Login with valid credentials routes user per assigned role</t>
  </si>
  <si>
    <t xml:space="preserve">Registered, active account exists.</t>
  </si>
  <si>
    <t xml:space="preserve">1. Open Login page.
2. Enter valid email and password.
3. Click Login.</t>
  </si>
  <si>
    <t xml:space="preserve">Registered account from TC-DP00-01</t>
  </si>
  <si>
    <t xml:space="preserve">User is authenticated and lands on the dashboard showing only menus/features allowed for the assigned role.</t>
  </si>
  <si>
    <t xml:space="preserve">TC-DP00-03</t>
  </si>
  <si>
    <t xml:space="preserve">Password that fails requirements is rejected</t>
  </si>
  <si>
    <t xml:space="preserve">User is on registration page.</t>
  </si>
  <si>
    <t xml:space="preserve">1. Fill all fields with a valid email and department.
2. Enter a weak password.
3. Click Register.</t>
  </si>
  <si>
    <t xml:space="preserve">Password: 12345 (too short, no letters/symbols)</t>
  </si>
  <si>
    <t xml:space="preserve">Registration blocked; message states the password requirements; no account created.</t>
  </si>
  <si>
    <t xml:space="preserve">AC2</t>
  </si>
  <si>
    <t xml:space="preserve">TC-DP00-04</t>
  </si>
  <si>
    <t xml:space="preserve">Registration without selecting a department</t>
  </si>
  <si>
    <t xml:space="preserve">1. Fill name, email, password.
2. Leave Department unselected.
3. Tick terms and click Register.</t>
  </si>
  <si>
    <t xml:space="preserve">Dept: (blank)</t>
  </si>
  <si>
    <t xml:space="preserve">Registration blocked; Department field highlighted with a required-field message.</t>
  </si>
  <si>
    <t xml:space="preserve">TC-DP00-05</t>
  </si>
  <si>
    <t xml:space="preserve">Registration without agreeing to terms</t>
  </si>
  <si>
    <t xml:space="preserve">Medium</t>
  </si>
  <si>
    <t xml:space="preserve">1. Fill all fields correctly.
2. Leave terms checkbox unticked.
3. Click Register.</t>
  </si>
  <si>
    <t xml:space="preserve">Terms: unchecked</t>
  </si>
  <si>
    <t xml:space="preserve">Registration blocked; message asks the user to agree to the terms.</t>
  </si>
  <si>
    <t xml:space="preserve">TC-DP00-06</t>
  </si>
  <si>
    <t xml:space="preserve">Registration with non-institutional or already-registered email</t>
  </si>
  <si>
    <t xml:space="preserve">An account for juan.delacruz@apc.edu.ph already exists.</t>
  </si>
  <si>
    <t xml:space="preserve">1. Register using an existing email.
2. Register using a personal email domain.</t>
  </si>
  <si>
    <t xml:space="preserve">a) juan.delacruz@apc.edu.ph  b) someone@gmail.com</t>
  </si>
  <si>
    <t xml:space="preserve">Both attempts rejected with clear messages (duplicate account / institutional email required); no new account created.</t>
  </si>
  <si>
    <t xml:space="preserve">AC1</t>
  </si>
  <si>
    <t xml:space="preserve">TC-DP00-07</t>
  </si>
  <si>
    <t xml:space="preserve">Login with incorrect password</t>
  </si>
  <si>
    <t xml:space="preserve">Registered account exists.</t>
  </si>
  <si>
    <t xml:space="preserve">1. Enter valid email and wrong password.
2. Click Login.</t>
  </si>
  <si>
    <t xml:space="preserve">Password: WrongPass99</t>
  </si>
  <si>
    <t xml:space="preserve">Login denied; generic 'invalid credentials' message; no session created.</t>
  </si>
  <si>
    <t xml:space="preserve">TC-DP00-08</t>
  </si>
  <si>
    <t xml:space="preserve">Access protected page without logging in</t>
  </si>
  <si>
    <t xml:space="preserve">User is logged out.</t>
  </si>
  <si>
    <t xml:space="preserve">1. Paste a dashboard/requisition URL directly into the browser.</t>
  </si>
  <si>
    <t xml:space="preserve">URL: /dashboard</t>
  </si>
  <si>
    <t xml:space="preserve">User is redirected to Login page; no data displayed.</t>
  </si>
  <si>
    <t xml:space="preserve">TC-DP00-09</t>
  </si>
  <si>
    <t xml:space="preserve">Authentication service unavailable during registration/login</t>
  </si>
  <si>
    <t xml:space="preserve">Supabase Auth is unreachable (simulate by disconnecting network/blocking the auth endpoint).</t>
  </si>
  <si>
    <t xml:space="preserve">1. Attempt to register.
2. Attempt to login.</t>
  </si>
  <si>
    <t xml:space="preserve">Valid credentials</t>
  </si>
  <si>
    <t xml:space="preserve">User sees a friendly 'service unavailable, try again later' error; no partial account is created; app does not crash.</t>
  </si>
  <si>
    <t xml:space="preserve">TC-DP01-01</t>
  </si>
  <si>
    <t xml:space="preserve">EP-01 Requisition Form Submission</t>
  </si>
  <si>
    <t xml:space="preserve">Manage Requisition / Submit Requisition</t>
  </si>
  <si>
    <t xml:space="preserve">Submit requisition with all required fields</t>
  </si>
  <si>
    <t xml:space="preserve">Requestor is logged in and has permission to submit.</t>
  </si>
  <si>
    <t xml:space="preserve">1. Select Manage Requisition &gt; Create Requisition.
2. Choose Equipment Request Form.
3. Fill in all required fields.
4. Click Submit and confirm.</t>
  </si>
  <si>
    <t xml:space="preserve">Type: Equipment Request | Item: Projector | Qty: 1 | Needed by: valid future date</t>
  </si>
  <si>
    <t xml:space="preserve">Requisition record is created with a unique requisition ID and submission timestamp; confirmation message displayed; status = Submitted.</t>
  </si>
  <si>
    <t xml:space="preserve">AC1-AC3</t>
  </si>
  <si>
    <t xml:space="preserve">TC-DP01-02</t>
  </si>
  <si>
    <t xml:space="preserve">Each supported form type shows its own fields</t>
  </si>
  <si>
    <t xml:space="preserve">Requestor is logged in.</t>
  </si>
  <si>
    <t xml:space="preserve">1. Create Requisition.
2. Select each type in turn: Equipment, Gate Pass, Vehicle Trip Ticket, Food Allowance, Library/Guidance Acquisition.</t>
  </si>
  <si>
    <t xml:space="preserve">All 5 form types</t>
  </si>
  <si>
    <t xml:space="preserve">The correct form and required fields are displayed for each type.</t>
  </si>
  <si>
    <t xml:space="preserve">Use Case 1</t>
  </si>
  <si>
    <t xml:space="preserve">TC-DP01-03</t>
  </si>
  <si>
    <t xml:space="preserve">Requisition IDs are unique across submissions</t>
  </si>
  <si>
    <t xml:space="preserve">1. Submit requisition A.
2. Submit a different requisition B.
3. Compare IDs.</t>
  </si>
  <si>
    <t xml:space="preserve">Two distinct requisitions</t>
  </si>
  <si>
    <t xml:space="preserve">Each submission gets a different ID; no ID is reused.</t>
  </si>
  <si>
    <t xml:space="preserve">AC3</t>
  </si>
  <si>
    <t xml:space="preserve">TC-DP01-04</t>
  </si>
  <si>
    <t xml:space="preserve">Submitted requisition is routed to the next workflow stage</t>
  </si>
  <si>
    <t xml:space="preserve">A valid requisition has just been submitted.</t>
  </si>
  <si>
    <t xml:space="preserve">1. Submit a valid requisition.
2. Open its details.</t>
  </si>
  <si>
    <t xml:space="preserve">—</t>
  </si>
  <si>
    <t xml:space="preserve">Status is Submitted and the requisition is forwarded to Department Head approval stage.</t>
  </si>
  <si>
    <t xml:space="preserve">Use Case 1 Post-cond.</t>
  </si>
  <si>
    <t xml:space="preserve">TC-DP01-05</t>
  </si>
  <si>
    <t xml:space="preserve">User without submit permission cannot create a requisition</t>
  </si>
  <si>
    <t xml:space="preserve">Logged in with a role lacking submit permission.</t>
  </si>
  <si>
    <t xml:space="preserve">1. Attempt to open Create Requisition (menu and direct URL).
2. Attempt to POST to the API.</t>
  </si>
  <si>
    <t xml:space="preserve">Role without permission</t>
  </si>
  <si>
    <t xml:space="preserve">Access denied (hidden menu / 403 message); no record is created.</t>
  </si>
  <si>
    <t xml:space="preserve">Use Case 1 Exception</t>
  </si>
  <si>
    <t xml:space="preserve">TC-DP01-06</t>
  </si>
  <si>
    <t xml:space="preserve">Cancel submission discards the draft</t>
  </si>
  <si>
    <t xml:space="preserve">Requestor is on the confirmation step.</t>
  </si>
  <si>
    <t xml:space="preserve">1. Fill the form.
2. Click Submit, then Cancel on the confirmation.</t>
  </si>
  <si>
    <t xml:space="preserve">No requisition record or ID is created; user returned to the form/dashboard without a confirmation message.</t>
  </si>
  <si>
    <t xml:space="preserve">Use Case 3 Exception</t>
  </si>
  <si>
    <t xml:space="preserve">TC-DP01-07</t>
  </si>
  <si>
    <t xml:space="preserve">Double-click on Submit creates only one requisition</t>
  </si>
  <si>
    <t xml:space="preserve">Requestor has a completed form.</t>
  </si>
  <si>
    <t xml:space="preserve">1. Double-click (or rapidly click) Submit.</t>
  </si>
  <si>
    <t xml:space="preserve">Only one record and one ID are created; Submit is disabled while processing.</t>
  </si>
  <si>
    <t xml:space="preserve">TC-DP01-08</t>
  </si>
  <si>
    <t xml:space="preserve">System fails to save the requisition</t>
  </si>
  <si>
    <t xml:space="preserve">Database is unreachable (simulate with Supabase connection blocked).</t>
  </si>
  <si>
    <t xml:space="preserve">1. Complete the form.
2. Click Submit and confirm.</t>
  </si>
  <si>
    <t xml:space="preserve">Valid form data</t>
  </si>
  <si>
    <t xml:space="preserve">Clear error shown; no partial/orphan record is created; entered form data is not lost so user can retry.</t>
  </si>
  <si>
    <t xml:space="preserve">TC-DP02-01</t>
  </si>
  <si>
    <t xml:space="preserve">Submit Requisition (Validation &amp; Duplicate Check)</t>
  </si>
  <si>
    <t xml:space="preserve">Complete and valid form passes validation</t>
  </si>
  <si>
    <t xml:space="preserve">Requestor is on a requisition form.</t>
  </si>
  <si>
    <t xml:space="preserve">1. Fill every required field with valid data.
2. Click Submit.</t>
  </si>
  <si>
    <t xml:space="preserve">Valid data set</t>
  </si>
  <si>
    <t xml:space="preserve">No validation errors; requisition proceeds to Department Head approval.</t>
  </si>
  <si>
    <t xml:space="preserve">AC1, AC4</t>
  </si>
  <si>
    <t xml:space="preserve">TC-DP02-02</t>
  </si>
  <si>
    <t xml:space="preserve">Single missing required field is highlighted</t>
  </si>
  <si>
    <t xml:space="preserve">1. Leave one required field empty.
2. Click Submit.</t>
  </si>
  <si>
    <t xml:space="preserve">Item description: (blank)</t>
  </si>
  <si>
    <t xml:space="preserve">Submission blocked; the empty field is highlighted with a message.</t>
  </si>
  <si>
    <t xml:space="preserve">AC1, AC2</t>
  </si>
  <si>
    <t xml:space="preserve">TC-DP02-03</t>
  </si>
  <si>
    <t xml:space="preserve">Multiple missing fields are all highlighted</t>
  </si>
  <si>
    <t xml:space="preserve">1. Leave several required fields empty.
2. Click Submit.</t>
  </si>
  <si>
    <t xml:space="preserve">All required fields blank</t>
  </si>
  <si>
    <t xml:space="preserve">All missing fields highlighted at once; form not submitted.</t>
  </si>
  <si>
    <t xml:space="preserve">TC-DP02-04</t>
  </si>
  <si>
    <t xml:space="preserve">Invalid data format is rejected</t>
  </si>
  <si>
    <t xml:space="preserve">1. Enter invalid values (negative/zero quantity, text in numeric field, past date).
2. Click Submit.</t>
  </si>
  <si>
    <t xml:space="preserve">Qty: -3 / 'abc'; Date: yesterday</t>
  </si>
  <si>
    <t xml:space="preserve">Format errors shown per field; submission blocked.</t>
  </si>
  <si>
    <t xml:space="preserve">TC-DP02-05</t>
  </si>
  <si>
    <t xml:space="preserve">Duplicate submission is flagged</t>
  </si>
  <si>
    <t xml:space="preserve">Requisition X was already submitted by the same user.</t>
  </si>
  <si>
    <t xml:space="preserve">1. Create a requisition identical to X (same type, item, quantity, dates).
2. Click Submit.</t>
  </si>
  <si>
    <t xml:space="preserve">Same data as X</t>
  </si>
  <si>
    <t xml:space="preserve">Duplicate warning is displayed; user must review/confirm before it proceeds.</t>
  </si>
  <si>
    <t xml:space="preserve">TC-DP02-06</t>
  </si>
  <si>
    <t xml:space="preserve">Similar but different requisition is not flagged as duplicate</t>
  </si>
  <si>
    <t xml:space="preserve">Requisition X already exists.</t>
  </si>
  <si>
    <t xml:space="preserve">1. Create a requisition with the same item but different quantity and date.
2. Submit.</t>
  </si>
  <si>
    <t xml:space="preserve">Qty and date differ from X</t>
  </si>
  <si>
    <t xml:space="preserve">No duplicate warning; requisition is accepted.</t>
  </si>
  <si>
    <t xml:space="preserve">TC-DP02-07</t>
  </si>
  <si>
    <t xml:space="preserve">Validation/duplicate-check service fails</t>
  </si>
  <si>
    <t xml:space="preserve">Validation endpoint returns an error (simulate API failure).</t>
  </si>
  <si>
    <t xml:space="preserve">1. Complete the form.
2. Click Submit.</t>
  </si>
  <si>
    <t xml:space="preserve">Valid data</t>
  </si>
  <si>
    <t xml:space="preserve">User sees a clear error; requisition is not silently accepted unvalidated; user can retry.</t>
  </si>
  <si>
    <t xml:space="preserve">TC-DP03-01</t>
  </si>
  <si>
    <t xml:space="preserve">Create Requisition (Attachments)</t>
  </si>
  <si>
    <t xml:space="preserve">Upload a single supported file</t>
  </si>
  <si>
    <t xml:space="preserve">1. Click Attach.
2. Select a supported file.
3. Wait for upload to finish.</t>
  </si>
  <si>
    <t xml:space="preserve">quotation.pdf (&lt; size limit)</t>
  </si>
  <si>
    <t xml:space="preserve">File uploads; filename/size shown in the attachment list.</t>
  </si>
  <si>
    <t xml:space="preserve">TC-DP03-02</t>
  </si>
  <si>
    <t xml:space="preserve">Upload multiple supporting files</t>
  </si>
  <si>
    <t xml:space="preserve">1. Select several supported files in one go (or one by one).
2. Wait for upload.</t>
  </si>
  <si>
    <t xml:space="preserve">quotation.pdf, memo.docx, photo.jpg</t>
  </si>
  <si>
    <t xml:space="preserve">All files are uploaded and listed.</t>
  </si>
  <si>
    <t xml:space="preserve">TC-DP03-03</t>
  </si>
  <si>
    <t xml:space="preserve">Remove an attachment before submitting</t>
  </si>
  <si>
    <t xml:space="preserve">At least one file is attached.</t>
  </si>
  <si>
    <t xml:space="preserve">1. Click remove/delete on an attachment.
2. Submit the form.</t>
  </si>
  <si>
    <t xml:space="preserve">Removed file is no longer listed and not saved with the requisition.</t>
  </si>
  <si>
    <t xml:space="preserve">TC-DP03-04</t>
  </si>
  <si>
    <t xml:space="preserve">Attachments are linked to the requisition after submission</t>
  </si>
  <si>
    <t xml:space="preserve">Requisition submitted with attachments.</t>
  </si>
  <si>
    <t xml:space="preserve">1. Open the submitted requisition details.</t>
  </si>
  <si>
    <t xml:space="preserve">All uploaded files are visible and downloadable from the requisition.</t>
  </si>
  <si>
    <t xml:space="preserve">Gap Analysis</t>
  </si>
  <si>
    <t xml:space="preserve">TC-DP03-05</t>
  </si>
  <si>
    <t xml:space="preserve">Unsupported file type is rejected</t>
  </si>
  <si>
    <t xml:space="preserve">1. Try to upload an unsupported file type.</t>
  </si>
  <si>
    <t xml:space="preserve">setup.exe, script.js</t>
  </si>
  <si>
    <t xml:space="preserve">Upload rejected with a message listing supported formats.</t>
  </si>
  <si>
    <t xml:space="preserve">TC-DP03-06</t>
  </si>
  <si>
    <t xml:space="preserve">File exceeding the size limit is rejected</t>
  </si>
  <si>
    <t xml:space="preserve">Requestor is on a requisition form. (Size limit to be confirmed — see Notes.)</t>
  </si>
  <si>
    <t xml:space="preserve">1. Upload a file larger than the allowed size.</t>
  </si>
  <si>
    <t xml:space="preserve">File larger than the limit</t>
  </si>
  <si>
    <t xml:space="preserve">Upload rejected with a size-limit message; form data intact.</t>
  </si>
  <si>
    <t xml:space="preserve">TC-DP03-07</t>
  </si>
  <si>
    <t xml:space="preserve">Submit blocked when a required attachment is missing</t>
  </si>
  <si>
    <t xml:space="preserve">Form type requires an attachment.</t>
  </si>
  <si>
    <t xml:space="preserve">1. Fill the form without attaching.
2. Click Submit.</t>
  </si>
  <si>
    <t xml:space="preserve">No attachment</t>
  </si>
  <si>
    <t xml:space="preserve">Submission blocked; message indicates the required supporting document is missing.</t>
  </si>
  <si>
    <t xml:space="preserve">Use Case 2 Exception</t>
  </si>
  <si>
    <t xml:space="preserve">TC-DP03-08</t>
  </si>
  <si>
    <t xml:space="preserve">File upload fails mid-way</t>
  </si>
  <si>
    <t xml:space="preserve">Network interrupted during upload.</t>
  </si>
  <si>
    <t xml:space="preserve">1. Start uploading a large file.
2. Disconnect network.</t>
  </si>
  <si>
    <t xml:space="preserve">Large PDF</t>
  </si>
  <si>
    <t xml:space="preserve">Error message with retry option; no corrupted/partial file saved; other form data retained.</t>
  </si>
  <si>
    <t xml:space="preserve">TC-DP04-01</t>
  </si>
  <si>
    <t xml:space="preserve">View Previous Requisitions</t>
  </si>
  <si>
    <t xml:space="preserve">Dashboard lists the user's submitted requisitions</t>
  </si>
  <si>
    <t xml:space="preserve">Requestor has at least 3 submitted requisitions.</t>
  </si>
  <si>
    <t xml:space="preserve">1. Log in.
2. Open the requisitions dashboard.</t>
  </si>
  <si>
    <t xml:space="preserve">All of the user's requisitions are listed with ID, type, date and status.</t>
  </si>
  <si>
    <t xml:space="preserve">TC-DP04-02</t>
  </si>
  <si>
    <t xml:space="preserve">Search requisition by ID or keyword</t>
  </si>
  <si>
    <t xml:space="preserve">Multiple requisitions exist.</t>
  </si>
  <si>
    <t xml:space="preserve">1. Enter a known requisition ID in the search box.
2. Repeat with a keyword (item name).</t>
  </si>
  <si>
    <t xml:space="preserve">ID e.g. REQ-0005; keyword 'projector'</t>
  </si>
  <si>
    <t xml:space="preserve">Only matching requisitions are shown.</t>
  </si>
  <si>
    <t xml:space="preserve">TC-DP04-03</t>
  </si>
  <si>
    <t xml:space="preserve">View current and historical status of a requisition</t>
  </si>
  <si>
    <t xml:space="preserve">Requisition has had at least one status change.</t>
  </si>
  <si>
    <t xml:space="preserve">1. Open a requisition from the list.</t>
  </si>
  <si>
    <t xml:space="preserve">Current status and previous status history are displayed.</t>
  </si>
  <si>
    <t xml:space="preserve">TC-DP04-04</t>
  </si>
  <si>
    <t xml:space="preserve">Search with no matching results</t>
  </si>
  <si>
    <t xml:space="preserve">Low</t>
  </si>
  <si>
    <t xml:space="preserve">Requisitions exist.</t>
  </si>
  <si>
    <t xml:space="preserve">1. Search for a term that matches nothing.</t>
  </si>
  <si>
    <t xml:space="preserve">'zzzzzz'</t>
  </si>
  <si>
    <t xml:space="preserve">An empty-state message ('No requisitions found') is shown; no error.</t>
  </si>
  <si>
    <t xml:space="preserve">TC-DP04-05</t>
  </si>
  <si>
    <t xml:space="preserve">User cannot see another user's requisitions</t>
  </si>
  <si>
    <t xml:space="preserve">Two requestors each have requisitions.</t>
  </si>
  <si>
    <t xml:space="preserve">1. Log in as Requestor A.
2. Try to open Requestor B's requisition URL directly.</t>
  </si>
  <si>
    <t xml:space="preserve">B's requisition URL</t>
  </si>
  <si>
    <t xml:space="preserve">Access denied / not found; B's data is not displayed.</t>
  </si>
  <si>
    <t xml:space="preserve">Use Case 7 Exception</t>
  </si>
  <si>
    <t xml:space="preserve">TC-DP04-06</t>
  </si>
  <si>
    <t xml:space="preserve">Dashboard shows empty state for a new user</t>
  </si>
  <si>
    <t xml:space="preserve">New user with no requisitions.</t>
  </si>
  <si>
    <t xml:space="preserve">1. Log in and open dashboard.</t>
  </si>
  <si>
    <t xml:space="preserve">Empty-state message with a prompt to create a requisition.</t>
  </si>
  <si>
    <t xml:space="preserve">TC-DP04-07</t>
  </si>
  <si>
    <t xml:space="preserve">Requisition history cannot be loaded</t>
  </si>
  <si>
    <t xml:space="preserve">Database/API unavailable.</t>
  </si>
  <si>
    <t xml:space="preserve">1. Open the dashboard while the data source is blocked.</t>
  </si>
  <si>
    <t xml:space="preserve">Friendly error shown with retry; no blank/broken page.</t>
  </si>
  <si>
    <t xml:space="preserve">TC-DP05-01</t>
  </si>
  <si>
    <t xml:space="preserve">EP-02 Requisition Tracking &amp; Status</t>
  </si>
  <si>
    <t xml:space="preserve">Track Requisition (Real-time)</t>
  </si>
  <si>
    <t xml:space="preserve">Current workflow stage is visible</t>
  </si>
  <si>
    <t xml:space="preserve">A submitted requisition exists.</t>
  </si>
  <si>
    <t xml:space="preserve">1. Open Track Requisition.
2. Select the requisition.</t>
  </si>
  <si>
    <t xml:space="preserve">The current workflow stage (e.g. Submitted / Dept Head Review) is displayed.</t>
  </si>
  <si>
    <t xml:space="preserve">TC-DP05-02</t>
  </si>
  <si>
    <t xml:space="preserve">Department currently handling the requisition is displayed</t>
  </si>
  <si>
    <t xml:space="preserve">Requisition is at the Dept Head stage.</t>
  </si>
  <si>
    <t xml:space="preserve">1. Open the requisition tracking view.</t>
  </si>
  <si>
    <t xml:space="preserve">The department/office currently handling it is shown.</t>
  </si>
  <si>
    <t xml:space="preserve">TC-DP05-03</t>
  </si>
  <si>
    <t xml:space="preserve">Status updates appear within one minute</t>
  </si>
  <si>
    <t xml:space="preserve">Requestor has the tracking page open; another user can change the status.</t>
  </si>
  <si>
    <t xml:space="preserve">1. Approver changes the status.
2. Start a timer.
3. Watch the requestor's page (no manual refresh).</t>
  </si>
  <si>
    <t xml:space="preserve">Any status change</t>
  </si>
  <si>
    <t xml:space="preserve">The new status appears on the requestor's page within 60 seconds.</t>
  </si>
  <si>
    <t xml:space="preserve">TC-DP05-04</t>
  </si>
  <si>
    <t xml:space="preserve">Real-time update without page refresh</t>
  </si>
  <si>
    <t xml:space="preserve">Same as above.</t>
  </si>
  <si>
    <t xml:space="preserve">1. Keep page open.
2. Change the status from another session.</t>
  </si>
  <si>
    <t xml:space="preserve">UI updates automatically (WebSocket/realtime) with no manual reload.</t>
  </si>
  <si>
    <t xml:space="preserve">TC-DP05-05</t>
  </si>
  <si>
    <t xml:space="preserve">Tracking an unauthorized requisition is denied</t>
  </si>
  <si>
    <t xml:space="preserve">Logged in as a user not involved in the requisition.</t>
  </si>
  <si>
    <t xml:space="preserve">1. Open the tracking URL of someone else's requisition.</t>
  </si>
  <si>
    <t xml:space="preserve">Other user's requisition URL</t>
  </si>
  <si>
    <t xml:space="preserve">Access denied; no status data revealed.</t>
  </si>
  <si>
    <t xml:space="preserve">TC-DP05-06</t>
  </si>
  <si>
    <t xml:space="preserve">Tracking a non-existent requisition</t>
  </si>
  <si>
    <t xml:space="preserve">Logged in.</t>
  </si>
  <si>
    <t xml:space="preserve">1. Open tracking URL with an invalid ID.</t>
  </si>
  <si>
    <t xml:space="preserve">/track/REQ-99999</t>
  </si>
  <si>
    <t xml:space="preserve">'Requisition not found' message; no crash.</t>
  </si>
  <si>
    <t xml:space="preserve">TC-DP05-07</t>
  </si>
  <si>
    <t xml:space="preserve">Real-time connection lost</t>
  </si>
  <si>
    <t xml:space="preserve">Tracking page is open.</t>
  </si>
  <si>
    <t xml:space="preserve">1. Disconnect network for ~2 minutes.
2. Change status from another session.
3. Reconnect.</t>
  </si>
  <si>
    <t xml:space="preserve">User sees a connection-lost indicator; after reconnect (or manual refresh) the latest status is displayed.</t>
  </si>
  <si>
    <t xml:space="preserve">TC-DP06-01</t>
  </si>
  <si>
    <t xml:space="preserve">Track Requisition (Approval Chain)</t>
  </si>
  <si>
    <t xml:space="preserve">Department Head approval status is visible</t>
  </si>
  <si>
    <t xml:space="preserve">Requisition has reached/passed Dept Head stage.</t>
  </si>
  <si>
    <t xml:space="preserve">1. Open the requisition's approval chain.</t>
  </si>
  <si>
    <t xml:space="preserve">Dept Head status (Pending / Approved / Rejected) is shown.</t>
  </si>
  <si>
    <t xml:space="preserve">TC-DP06-02</t>
  </si>
  <si>
    <t xml:space="preserve">Finance approval status is visible</t>
  </si>
  <si>
    <t xml:space="preserve">Requisition is at or beyond Finance stage.</t>
  </si>
  <si>
    <t xml:space="preserve">1. Open the approval chain.</t>
  </si>
  <si>
    <t xml:space="preserve">Finance status is shown.</t>
  </si>
  <si>
    <t xml:space="preserve">TC-DP06-03</t>
  </si>
  <si>
    <t xml:space="preserve">Logistics processing status is visible</t>
  </si>
  <si>
    <t xml:space="preserve">Requisition is at or beyond Logistics stage.</t>
  </si>
  <si>
    <t xml:space="preserve">Logistics processing status is shown.</t>
  </si>
  <si>
    <t xml:space="preserve">TC-DP06-04</t>
  </si>
  <si>
    <t xml:space="preserve">Date and time of each action is displayed</t>
  </si>
  <si>
    <t xml:space="preserve">At least one approval action is recorded.</t>
  </si>
  <si>
    <t xml:space="preserve">1. Open the approval chain/timeline.</t>
  </si>
  <si>
    <t xml:space="preserve">Each completed action shows date and time (and who acted).</t>
  </si>
  <si>
    <t xml:space="preserve">AC4</t>
  </si>
  <si>
    <t xml:space="preserve">TC-DP06-05</t>
  </si>
  <si>
    <t xml:space="preserve">Rejection/return reason appears in the chain</t>
  </si>
  <si>
    <t xml:space="preserve">A requisition was rejected/returned with a reason.</t>
  </si>
  <si>
    <t xml:space="preserve">The reason is visible to the requestor with the decision.</t>
  </si>
  <si>
    <t xml:space="preserve">Use Case 7</t>
  </si>
  <si>
    <t xml:space="preserve">TC-DP06-06</t>
  </si>
  <si>
    <t xml:space="preserve">Stages not yet reached show pending with no timestamp</t>
  </si>
  <si>
    <t xml:space="preserve">Requisition is at Dept Head stage.</t>
  </si>
  <si>
    <t xml:space="preserve">Finance and Logistics show 'Pending/Not yet reached'; no fake timestamps or decisions.</t>
  </si>
  <si>
    <t xml:space="preserve">AC2, AC3</t>
  </si>
  <si>
    <t xml:space="preserve">TC-DP06-07</t>
  </si>
  <si>
    <t xml:space="preserve">Unauthorized user cannot view the approval chain</t>
  </si>
  <si>
    <t xml:space="preserve">Logged in as an unrelated user.</t>
  </si>
  <si>
    <t xml:space="preserve">1. Open another user's approval chain URL.</t>
  </si>
  <si>
    <t xml:space="preserve">Access denied; no chain details shown.</t>
  </si>
  <si>
    <t xml:space="preserve">TC-DP06-08</t>
  </si>
  <si>
    <t xml:space="preserve">Approval history cannot be retrieved</t>
  </si>
  <si>
    <t xml:space="preserve">History data source unavailable.</t>
  </si>
  <si>
    <t xml:space="preserve">Error message with retry; no partial/incorrect data displayed.</t>
  </si>
  <si>
    <t xml:space="preserve">TC-DP07-01</t>
  </si>
  <si>
    <t xml:space="preserve">Track Requisition (QR / Phygital Sync)</t>
  </si>
  <si>
    <t xml:space="preserve">QR code is generated upon submission</t>
  </si>
  <si>
    <t xml:space="preserve">Requestor submits a requisition.</t>
  </si>
  <si>
    <t xml:space="preserve">1. Submit a valid requisition.
2. Open the confirmation/requisition details.</t>
  </si>
  <si>
    <t xml:space="preserve">A QR code linked to the requisition ID is generated and can be viewed/printed.</t>
  </si>
  <si>
    <t xml:space="preserve">TC-DP07-02</t>
  </si>
  <si>
    <t xml:space="preserve">Each requisition has a unique QR code</t>
  </si>
  <si>
    <t xml:space="preserve">Two requisitions exist.</t>
  </si>
  <si>
    <t xml:space="preserve">1. Compare the QR codes (decode both).</t>
  </si>
  <si>
    <t xml:space="preserve">Each QR encodes a different requisition reference.</t>
  </si>
  <si>
    <t xml:space="preserve">TC-DP07-03</t>
  </si>
  <si>
    <t xml:space="preserve">Logistics scan updates requisition location</t>
  </si>
  <si>
    <t xml:space="preserve">Logged in as Logistics; printed QR available.</t>
  </si>
  <si>
    <t xml:space="preserve">1. Open the scan page.
2. Scan the QR code.</t>
  </si>
  <si>
    <t xml:space="preserve">Valid QR of a submitted requisition</t>
  </si>
  <si>
    <t xml:space="preserve">System identifies the requisition and updates its location/handler.</t>
  </si>
  <si>
    <t xml:space="preserve">TC-DP07-04</t>
  </si>
  <si>
    <t xml:space="preserve">Scan update is timestamped</t>
  </si>
  <si>
    <t xml:space="preserve">A scan was just performed.</t>
  </si>
  <si>
    <t xml:space="preserve">1. Open the requisition's tracking/location history.</t>
  </si>
  <si>
    <t xml:space="preserve">The scan entry shows an accurate date, time and handler.</t>
  </si>
  <si>
    <t xml:space="preserve">TC-DP07-05</t>
  </si>
  <si>
    <t xml:space="preserve">Tracking location reflects successful scan</t>
  </si>
  <si>
    <t xml:space="preserve">Requisition scanned at a new department.</t>
  </si>
  <si>
    <t xml:space="preserve">1. As the requestor, open tracking for that requisition.</t>
  </si>
  <si>
    <t xml:space="preserve">Tracking view shows the updated location after the successful scan.</t>
  </si>
  <si>
    <t xml:space="preserve">TC-DP07-06</t>
  </si>
  <si>
    <t xml:space="preserve">Non-logistics user cannot perform a scan update</t>
  </si>
  <si>
    <t xml:space="preserve">Logged in as a Requestor.</t>
  </si>
  <si>
    <t xml:space="preserve">1. Try to open the scan/update function (menu and URL).</t>
  </si>
  <si>
    <t xml:space="preserve">Access denied; location unchanged.</t>
  </si>
  <si>
    <t xml:space="preserve">TC-DP07-07</t>
  </si>
  <si>
    <t xml:space="preserve">Invalid or tampered QR code</t>
  </si>
  <si>
    <t xml:space="preserve">Logistics is on the scan page.</t>
  </si>
  <si>
    <t xml:space="preserve">1. Scan a random QR / altered QR / QR of a deleted requisition.</t>
  </si>
  <si>
    <t xml:space="preserve">Non-DocuPulse QR code</t>
  </si>
  <si>
    <t xml:space="preserve">Clear 'invalid QR / requisition not found' message; no location update recorded.</t>
  </si>
  <si>
    <t xml:space="preserve">TC-DP07-08</t>
  </si>
  <si>
    <t xml:space="preserve">Repeated scan at the same location</t>
  </si>
  <si>
    <t xml:space="preserve">Requisition already scanned at Logistics.</t>
  </si>
  <si>
    <t xml:space="preserve">1. Scan the same QR again at the same office.</t>
  </si>
  <si>
    <t xml:space="preserve">System handles gracefully (duplicate scan noted or ignored); no inconsistent location data.</t>
  </si>
  <si>
    <t xml:space="preserve">TC-DP07-09</t>
  </si>
  <si>
    <t xml:space="preserve">Camera permission denied or scan fails</t>
  </si>
  <si>
    <t xml:space="preserve">1. Deny camera access / use an unreadable QR.</t>
  </si>
  <si>
    <t xml:space="preserve">Message explains the problem and offers an alternative (e.g. enter requisition ID manually); app does not crash.</t>
  </si>
  <si>
    <t xml:space="preserve">TC-DP07-10</t>
  </si>
  <si>
    <t xml:space="preserve">Scan update fails to save (network/database error)</t>
  </si>
  <si>
    <t xml:space="preserve">Database/API unavailable at scan time.</t>
  </si>
  <si>
    <t xml:space="preserve">1. Scan a valid QR while the backend is blocked.</t>
  </si>
  <si>
    <t xml:space="preserve">Error shown; location is not falsely updated; user can retry.</t>
  </si>
  <si>
    <t xml:space="preserve">TC-DP08-01</t>
  </si>
  <si>
    <t xml:space="preserve">Send Notification Status / Review (Dept Head)</t>
  </si>
  <si>
    <t xml:space="preserve">Dept Head is notified automatically on submission</t>
  </si>
  <si>
    <t xml:space="preserve">Requestor submits a requisition; Dept Head account exists for that department.</t>
  </si>
  <si>
    <t xml:space="preserve">1. Requestor submits a requisition.
2. Dept Head checks notifications (do not refresh manually).</t>
  </si>
  <si>
    <t xml:space="preserve">A notification is generated automatically and appears for the Dept Head (in real time).</t>
  </si>
  <si>
    <t xml:space="preserve">TC-DP08-02</t>
  </si>
  <si>
    <t xml:space="preserve">Notification includes the current workflow stage</t>
  </si>
  <si>
    <t xml:space="preserve">Notification received.</t>
  </si>
  <si>
    <t xml:space="preserve">1. Open the notification.</t>
  </si>
  <si>
    <t xml:space="preserve">Notification shows the requisition reference and current stage.</t>
  </si>
  <si>
    <t xml:space="preserve">TC-DP08-03</t>
  </si>
  <si>
    <t xml:space="preserve">Notification history is stored and viewable</t>
  </si>
  <si>
    <t xml:space="preserve">Several notifications received.</t>
  </si>
  <si>
    <t xml:space="preserve">1. Open notification history.
2. Re-login and check again.</t>
  </si>
  <si>
    <t xml:space="preserve">All past notifications are listed (with date/time) and persist across sessions.</t>
  </si>
  <si>
    <t xml:space="preserve">TC-DP08-04</t>
  </si>
  <si>
    <t xml:space="preserve">Open requisition from a notification to review it</t>
  </si>
  <si>
    <t xml:space="preserve">Dept Head has a notification.</t>
  </si>
  <si>
    <t xml:space="preserve">1. Click the notification.</t>
  </si>
  <si>
    <t xml:space="preserve">The corresponding requisition details and attachments open for review.</t>
  </si>
  <si>
    <t xml:space="preserve">Story; Use Case 11</t>
  </si>
  <si>
    <t xml:space="preserve">TC-DP08-05</t>
  </si>
  <si>
    <t xml:space="preserve">Only the correct department's head is notified</t>
  </si>
  <si>
    <t xml:space="preserve">Heads of two departments exist.</t>
  </si>
  <si>
    <t xml:space="preserve">1. Requestor from Dept A submits a requisition.
2. Check notifications for Dept B head.</t>
  </si>
  <si>
    <t xml:space="preserve">Only Dept A's head is notified; Dept B receives nothing.</t>
  </si>
  <si>
    <t xml:space="preserve">TC-DP08-06</t>
  </si>
  <si>
    <t xml:space="preserve">Non-authorized user cannot review the requisition</t>
  </si>
  <si>
    <t xml:space="preserve">Logged in as an unrelated Requestor.</t>
  </si>
  <si>
    <t xml:space="preserve">1. Try to open the Dept Head review page/URL.</t>
  </si>
  <si>
    <t xml:space="preserve">Access denied; requisition content not shown.</t>
  </si>
  <si>
    <t xml:space="preserve">TC-DP08-07</t>
  </si>
  <si>
    <t xml:space="preserve">Notification service unavailable</t>
  </si>
  <si>
    <t xml:space="preserve">Realtime/notification service is down.</t>
  </si>
  <si>
    <t xml:space="preserve">1. Submit a requisition.
2. Check the requestor's confirmation and later the notification history.</t>
  </si>
  <si>
    <t xml:space="preserve">Submission still succeeds; failure is handled gracefully (no crash) and the notification is recorded/delivered once service is restored.</t>
  </si>
  <si>
    <t xml:space="preserve">Use Case 11 Exception</t>
  </si>
  <si>
    <t xml:space="preserve">Notes &amp; Assumptions</t>
  </si>
  <si>
    <t xml:space="preserve">How these were built</t>
  </si>
  <si>
    <t xml:space="preserve">Test cases are derived from the Sprint 1 backlog items DP-00 to DP-08 (acceptance criteria) and the Fully Dressed Use Cases in the MSYADD1 documentation (flows, preconditions, postconditions, exception conditions). Each story has Positive, Negative and Exception cases.</t>
  </si>
  <si>
    <t xml:space="preserve">Type definitions</t>
  </si>
  <si>
    <t xml:space="preserve">Positive = expected behaviour under normal use. Negative = invalid input, unauthorized access or incorrect user action. Exception = system/service failure or interruption.</t>
  </si>
  <si>
    <t xml:space="preserve">Status values</t>
  </si>
  <si>
    <t xml:space="preserve">Not Run / Pass / Fail / Blocked (dropdown). The Summary sheet updates automatically.</t>
  </si>
  <si>
    <t xml:space="preserve">Assumption – truncated AC (DP-03)</t>
  </si>
  <si>
    <t xml:space="preserve">The backlog text for DP-03 ends at 'Supported formats include'. Assumed formats: PDF, DOCX, JPG/PNG; max file size to be confirmed by the team. Update TC-DP03-05/06 data once decided.</t>
  </si>
  <si>
    <t xml:space="preserve">Assumption – truncated AC (DP-05)</t>
  </si>
  <si>
    <t xml:space="preserve">AC3 reads 'Updates appear within one minute of status…'; interpreted as 'within one minute of a status change'.</t>
  </si>
  <si>
    <t xml:space="preserve">Assumption – truncated AC (DP-07)</t>
  </si>
  <si>
    <t xml:space="preserve">AC4 ends at 'Tracking location updates in the system upon successful…'; interpreted as 'upon successful scan'.</t>
  </si>
  <si>
    <t xml:space="preserve">Observation – DP-08</t>
  </si>
  <si>
    <t xml:space="preserve">The story ('review requisition forms') is about Department Head review, but its acceptance criteria only describe notifications. Tests cover both; the approve/reject decision itself is DP-09 (Sprint 2) and is not tested here.</t>
  </si>
  <si>
    <t xml:space="preserve">Out of scope for Sprint 1</t>
  </si>
  <si>
    <t xml:space="preserve">AI features (Smart Tagging, Anomaly Detection, Smart Flow Rerouting, Predictive Analytics), approvals (DP-09–11), dashboards/user management (DP-16–17), budget analytics and escalation alerts are planned for Sprints 2–4.</t>
  </si>
  <si>
    <t xml:space="preserve">Test data</t>
  </si>
  <si>
    <t xml:space="preserve">Emails, names and IDs are fictional placeholders; replace with actual test accounts for each role (Requestor, Department Head, Finance, Logistics).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</si>
</sst>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10" min="3" style="0" width="11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15" hidden="false" customHeight="false" outlineLevel="0" collapsed="false">
      <c r="A4" s="3" t="s">
        <v>11</v>
      </c>
      <c r="B4" s="4" t="s">
        <v>12</v>
      </c>
      <c r="C4" s="3" t="n">
        <f aca="false">COUNTIFS('Test Cases'!$B$5:$B$75,$A4,'Test Cases'!$F$5:$F$75,"Positive")</f>
        <v>2</v>
      </c>
      <c r="D4" s="3" t="n">
        <f aca="false">COUNTIFS('Test Cases'!$B$5:$B$75,$A4,'Test Cases'!$F$5:$F$75,"Negative")</f>
        <v>6</v>
      </c>
      <c r="E4" s="3" t="n">
        <f aca="false">COUNTIFS('Test Cases'!$B$5:$B$75,$A4,'Test Cases'!$F$5:$F$75,"Exception")</f>
        <v>1</v>
      </c>
      <c r="F4" s="3" t="n">
        <f aca="false">SUM(C4:E4)</f>
        <v>9</v>
      </c>
      <c r="G4" s="3" t="n">
        <f aca="false">COUNTIFS('Test Cases'!$B$5:$B$75,$A4,'Test Cases'!$N$5:$N$75,"Pass")</f>
        <v>0</v>
      </c>
      <c r="H4" s="3" t="n">
        <f aca="false">COUNTIFS('Test Cases'!$B$5:$B$75,$A4,'Test Cases'!$N$5:$N$75,"Fail")</f>
        <v>0</v>
      </c>
      <c r="I4" s="3" t="n">
        <f aca="false">COUNTIFS('Test Cases'!$B$5:$B$75,$A4,'Test Cases'!$N$5:$N$75,"Blocked")</f>
        <v>0</v>
      </c>
      <c r="J4" s="3" t="n">
        <f aca="false">COUNTIFS('Test Cases'!$B$5:$B$75,$A4,'Test Cases'!$N$5:$N$75,"Not Run")</f>
        <v>9</v>
      </c>
    </row>
    <row r="5" customFormat="false" ht="15" hidden="false" customHeight="false" outlineLevel="0" collapsed="false">
      <c r="A5" s="3" t="s">
        <v>13</v>
      </c>
      <c r="B5" s="4" t="s">
        <v>14</v>
      </c>
      <c r="C5" s="3" t="n">
        <f aca="false">COUNTIFS('Test Cases'!$B$5:$B$75,$A5,'Test Cases'!$F$5:$F$75,"Positive")</f>
        <v>4</v>
      </c>
      <c r="D5" s="3" t="n">
        <f aca="false">COUNTIFS('Test Cases'!$B$5:$B$75,$A5,'Test Cases'!$F$5:$F$75,"Negative")</f>
        <v>3</v>
      </c>
      <c r="E5" s="3" t="n">
        <f aca="false">COUNTIFS('Test Cases'!$B$5:$B$75,$A5,'Test Cases'!$F$5:$F$75,"Exception")</f>
        <v>1</v>
      </c>
      <c r="F5" s="3" t="n">
        <f aca="false">SUM(C5:E5)</f>
        <v>8</v>
      </c>
      <c r="G5" s="3" t="n">
        <f aca="false">COUNTIFS('Test Cases'!$B$5:$B$75,$A5,'Test Cases'!$N$5:$N$75,"Pass")</f>
        <v>0</v>
      </c>
      <c r="H5" s="3" t="n">
        <f aca="false">COUNTIFS('Test Cases'!$B$5:$B$75,$A5,'Test Cases'!$N$5:$N$75,"Fail")</f>
        <v>0</v>
      </c>
      <c r="I5" s="3" t="n">
        <f aca="false">COUNTIFS('Test Cases'!$B$5:$B$75,$A5,'Test Cases'!$N$5:$N$75,"Blocked")</f>
        <v>0</v>
      </c>
      <c r="J5" s="3" t="n">
        <f aca="false">COUNTIFS('Test Cases'!$B$5:$B$75,$A5,'Test Cases'!$N$5:$N$75,"Not Run")</f>
        <v>8</v>
      </c>
    </row>
    <row r="6" customFormat="false" ht="15" hidden="false" customHeight="false" outlineLevel="0" collapsed="false">
      <c r="A6" s="3" t="s">
        <v>15</v>
      </c>
      <c r="B6" s="4" t="s">
        <v>16</v>
      </c>
      <c r="C6" s="3" t="n">
        <f aca="false">COUNTIFS('Test Cases'!$B$5:$B$75,$A6,'Test Cases'!$F$5:$F$75,"Positive")</f>
        <v>2</v>
      </c>
      <c r="D6" s="3" t="n">
        <f aca="false">COUNTIFS('Test Cases'!$B$5:$B$75,$A6,'Test Cases'!$F$5:$F$75,"Negative")</f>
        <v>4</v>
      </c>
      <c r="E6" s="3" t="n">
        <f aca="false">COUNTIFS('Test Cases'!$B$5:$B$75,$A6,'Test Cases'!$F$5:$F$75,"Exception")</f>
        <v>1</v>
      </c>
      <c r="F6" s="3" t="n">
        <f aca="false">SUM(C6:E6)</f>
        <v>7</v>
      </c>
      <c r="G6" s="3" t="n">
        <f aca="false">COUNTIFS('Test Cases'!$B$5:$B$75,$A6,'Test Cases'!$N$5:$N$75,"Pass")</f>
        <v>0</v>
      </c>
      <c r="H6" s="3" t="n">
        <f aca="false">COUNTIFS('Test Cases'!$B$5:$B$75,$A6,'Test Cases'!$N$5:$N$75,"Fail")</f>
        <v>0</v>
      </c>
      <c r="I6" s="3" t="n">
        <f aca="false">COUNTIFS('Test Cases'!$B$5:$B$75,$A6,'Test Cases'!$N$5:$N$75,"Blocked")</f>
        <v>0</v>
      </c>
      <c r="J6" s="3" t="n">
        <f aca="false">COUNTIFS('Test Cases'!$B$5:$B$75,$A6,'Test Cases'!$N$5:$N$75,"Not Run")</f>
        <v>7</v>
      </c>
    </row>
    <row r="7" customFormat="false" ht="15" hidden="false" customHeight="false" outlineLevel="0" collapsed="false">
      <c r="A7" s="3" t="s">
        <v>17</v>
      </c>
      <c r="B7" s="4" t="s">
        <v>18</v>
      </c>
      <c r="C7" s="3" t="n">
        <f aca="false">COUNTIFS('Test Cases'!$B$5:$B$75,$A7,'Test Cases'!$F$5:$F$75,"Positive")</f>
        <v>4</v>
      </c>
      <c r="D7" s="3" t="n">
        <f aca="false">COUNTIFS('Test Cases'!$B$5:$B$75,$A7,'Test Cases'!$F$5:$F$75,"Negative")</f>
        <v>3</v>
      </c>
      <c r="E7" s="3" t="n">
        <f aca="false">COUNTIFS('Test Cases'!$B$5:$B$75,$A7,'Test Cases'!$F$5:$F$75,"Exception")</f>
        <v>1</v>
      </c>
      <c r="F7" s="3" t="n">
        <f aca="false">SUM(C7:E7)</f>
        <v>8</v>
      </c>
      <c r="G7" s="3" t="n">
        <f aca="false">COUNTIFS('Test Cases'!$B$5:$B$75,$A7,'Test Cases'!$N$5:$N$75,"Pass")</f>
        <v>0</v>
      </c>
      <c r="H7" s="3" t="n">
        <f aca="false">COUNTIFS('Test Cases'!$B$5:$B$75,$A7,'Test Cases'!$N$5:$N$75,"Fail")</f>
        <v>0</v>
      </c>
      <c r="I7" s="3" t="n">
        <f aca="false">COUNTIFS('Test Cases'!$B$5:$B$75,$A7,'Test Cases'!$N$5:$N$75,"Blocked")</f>
        <v>0</v>
      </c>
      <c r="J7" s="3" t="n">
        <f aca="false">COUNTIFS('Test Cases'!$B$5:$B$75,$A7,'Test Cases'!$N$5:$N$75,"Not Run")</f>
        <v>8</v>
      </c>
    </row>
    <row r="8" customFormat="false" ht="15" hidden="false" customHeight="false" outlineLevel="0" collapsed="false">
      <c r="A8" s="3" t="s">
        <v>19</v>
      </c>
      <c r="B8" s="4" t="s">
        <v>20</v>
      </c>
      <c r="C8" s="3" t="n">
        <f aca="false">COUNTIFS('Test Cases'!$B$5:$B$75,$A8,'Test Cases'!$F$5:$F$75,"Positive")</f>
        <v>3</v>
      </c>
      <c r="D8" s="3" t="n">
        <f aca="false">COUNTIFS('Test Cases'!$B$5:$B$75,$A8,'Test Cases'!$F$5:$F$75,"Negative")</f>
        <v>3</v>
      </c>
      <c r="E8" s="3" t="n">
        <f aca="false">COUNTIFS('Test Cases'!$B$5:$B$75,$A8,'Test Cases'!$F$5:$F$75,"Exception")</f>
        <v>1</v>
      </c>
      <c r="F8" s="3" t="n">
        <f aca="false">SUM(C8:E8)</f>
        <v>7</v>
      </c>
      <c r="G8" s="3" t="n">
        <f aca="false">COUNTIFS('Test Cases'!$B$5:$B$75,$A8,'Test Cases'!$N$5:$N$75,"Pass")</f>
        <v>0</v>
      </c>
      <c r="H8" s="3" t="n">
        <f aca="false">COUNTIFS('Test Cases'!$B$5:$B$75,$A8,'Test Cases'!$N$5:$N$75,"Fail")</f>
        <v>0</v>
      </c>
      <c r="I8" s="3" t="n">
        <f aca="false">COUNTIFS('Test Cases'!$B$5:$B$75,$A8,'Test Cases'!$N$5:$N$75,"Blocked")</f>
        <v>0</v>
      </c>
      <c r="J8" s="3" t="n">
        <f aca="false">COUNTIFS('Test Cases'!$B$5:$B$75,$A8,'Test Cases'!$N$5:$N$75,"Not Run")</f>
        <v>7</v>
      </c>
    </row>
    <row r="9" customFormat="false" ht="15" hidden="false" customHeight="false" outlineLevel="0" collapsed="false">
      <c r="A9" s="3" t="s">
        <v>21</v>
      </c>
      <c r="B9" s="4" t="s">
        <v>22</v>
      </c>
      <c r="C9" s="3" t="n">
        <f aca="false">COUNTIFS('Test Cases'!$B$5:$B$75,$A9,'Test Cases'!$F$5:$F$75,"Positive")</f>
        <v>4</v>
      </c>
      <c r="D9" s="3" t="n">
        <f aca="false">COUNTIFS('Test Cases'!$B$5:$B$75,$A9,'Test Cases'!$F$5:$F$75,"Negative")</f>
        <v>2</v>
      </c>
      <c r="E9" s="3" t="n">
        <f aca="false">COUNTIFS('Test Cases'!$B$5:$B$75,$A9,'Test Cases'!$F$5:$F$75,"Exception")</f>
        <v>1</v>
      </c>
      <c r="F9" s="3" t="n">
        <f aca="false">SUM(C9:E9)</f>
        <v>7</v>
      </c>
      <c r="G9" s="3" t="n">
        <f aca="false">COUNTIFS('Test Cases'!$B$5:$B$75,$A9,'Test Cases'!$N$5:$N$75,"Pass")</f>
        <v>0</v>
      </c>
      <c r="H9" s="3" t="n">
        <f aca="false">COUNTIFS('Test Cases'!$B$5:$B$75,$A9,'Test Cases'!$N$5:$N$75,"Fail")</f>
        <v>0</v>
      </c>
      <c r="I9" s="3" t="n">
        <f aca="false">COUNTIFS('Test Cases'!$B$5:$B$75,$A9,'Test Cases'!$N$5:$N$75,"Blocked")</f>
        <v>0</v>
      </c>
      <c r="J9" s="3" t="n">
        <f aca="false">COUNTIFS('Test Cases'!$B$5:$B$75,$A9,'Test Cases'!$N$5:$N$75,"Not Run")</f>
        <v>7</v>
      </c>
    </row>
    <row r="10" customFormat="false" ht="15" hidden="false" customHeight="false" outlineLevel="0" collapsed="false">
      <c r="A10" s="3" t="s">
        <v>23</v>
      </c>
      <c r="B10" s="4" t="s">
        <v>24</v>
      </c>
      <c r="C10" s="3" t="n">
        <f aca="false">COUNTIFS('Test Cases'!$B$5:$B$75,$A10,'Test Cases'!$F$5:$F$75,"Positive")</f>
        <v>5</v>
      </c>
      <c r="D10" s="3" t="n">
        <f aca="false">COUNTIFS('Test Cases'!$B$5:$B$75,$A10,'Test Cases'!$F$5:$F$75,"Negative")</f>
        <v>2</v>
      </c>
      <c r="E10" s="3" t="n">
        <f aca="false">COUNTIFS('Test Cases'!$B$5:$B$75,$A10,'Test Cases'!$F$5:$F$75,"Exception")</f>
        <v>1</v>
      </c>
      <c r="F10" s="3" t="n">
        <f aca="false">SUM(C10:E10)</f>
        <v>8</v>
      </c>
      <c r="G10" s="3" t="n">
        <f aca="false">COUNTIFS('Test Cases'!$B$5:$B$75,$A10,'Test Cases'!$N$5:$N$75,"Pass")</f>
        <v>0</v>
      </c>
      <c r="H10" s="3" t="n">
        <f aca="false">COUNTIFS('Test Cases'!$B$5:$B$75,$A10,'Test Cases'!$N$5:$N$75,"Fail")</f>
        <v>0</v>
      </c>
      <c r="I10" s="3" t="n">
        <f aca="false">COUNTIFS('Test Cases'!$B$5:$B$75,$A10,'Test Cases'!$N$5:$N$75,"Blocked")</f>
        <v>0</v>
      </c>
      <c r="J10" s="3" t="n">
        <f aca="false">COUNTIFS('Test Cases'!$B$5:$B$75,$A10,'Test Cases'!$N$5:$N$75,"Not Run")</f>
        <v>8</v>
      </c>
    </row>
    <row r="11" customFormat="false" ht="15" hidden="false" customHeight="false" outlineLevel="0" collapsed="false">
      <c r="A11" s="3" t="s">
        <v>25</v>
      </c>
      <c r="B11" s="4" t="s">
        <v>26</v>
      </c>
      <c r="C11" s="3" t="n">
        <f aca="false">COUNTIFS('Test Cases'!$B$5:$B$75,$A11,'Test Cases'!$F$5:$F$75,"Positive")</f>
        <v>5</v>
      </c>
      <c r="D11" s="3" t="n">
        <f aca="false">COUNTIFS('Test Cases'!$B$5:$B$75,$A11,'Test Cases'!$F$5:$F$75,"Negative")</f>
        <v>3</v>
      </c>
      <c r="E11" s="3" t="n">
        <f aca="false">COUNTIFS('Test Cases'!$B$5:$B$75,$A11,'Test Cases'!$F$5:$F$75,"Exception")</f>
        <v>2</v>
      </c>
      <c r="F11" s="3" t="n">
        <f aca="false">SUM(C11:E11)</f>
        <v>10</v>
      </c>
      <c r="G11" s="3" t="n">
        <f aca="false">COUNTIFS('Test Cases'!$B$5:$B$75,$A11,'Test Cases'!$N$5:$N$75,"Pass")</f>
        <v>0</v>
      </c>
      <c r="H11" s="3" t="n">
        <f aca="false">COUNTIFS('Test Cases'!$B$5:$B$75,$A11,'Test Cases'!$N$5:$N$75,"Fail")</f>
        <v>0</v>
      </c>
      <c r="I11" s="3" t="n">
        <f aca="false">COUNTIFS('Test Cases'!$B$5:$B$75,$A11,'Test Cases'!$N$5:$N$75,"Blocked")</f>
        <v>0</v>
      </c>
      <c r="J11" s="3" t="n">
        <f aca="false">COUNTIFS('Test Cases'!$B$5:$B$75,$A11,'Test Cases'!$N$5:$N$75,"Not Run")</f>
        <v>10</v>
      </c>
    </row>
    <row r="12" customFormat="false" ht="15" hidden="false" customHeight="false" outlineLevel="0" collapsed="false">
      <c r="A12" s="3" t="s">
        <v>27</v>
      </c>
      <c r="B12" s="4" t="s">
        <v>28</v>
      </c>
      <c r="C12" s="3" t="n">
        <f aca="false">COUNTIFS('Test Cases'!$B$5:$B$75,$A12,'Test Cases'!$F$5:$F$75,"Positive")</f>
        <v>4</v>
      </c>
      <c r="D12" s="3" t="n">
        <f aca="false">COUNTIFS('Test Cases'!$B$5:$B$75,$A12,'Test Cases'!$F$5:$F$75,"Negative")</f>
        <v>2</v>
      </c>
      <c r="E12" s="3" t="n">
        <f aca="false">COUNTIFS('Test Cases'!$B$5:$B$75,$A12,'Test Cases'!$F$5:$F$75,"Exception")</f>
        <v>1</v>
      </c>
      <c r="F12" s="3" t="n">
        <f aca="false">SUM(C12:E12)</f>
        <v>7</v>
      </c>
      <c r="G12" s="3" t="n">
        <f aca="false">COUNTIFS('Test Cases'!$B$5:$B$75,$A12,'Test Cases'!$N$5:$N$75,"Pass")</f>
        <v>0</v>
      </c>
      <c r="H12" s="3" t="n">
        <f aca="false">COUNTIFS('Test Cases'!$B$5:$B$75,$A12,'Test Cases'!$N$5:$N$75,"Fail")</f>
        <v>0</v>
      </c>
      <c r="I12" s="3" t="n">
        <f aca="false">COUNTIFS('Test Cases'!$B$5:$B$75,$A12,'Test Cases'!$N$5:$N$75,"Blocked")</f>
        <v>0</v>
      </c>
      <c r="J12" s="3" t="n">
        <f aca="false">COUNTIFS('Test Cases'!$B$5:$B$75,$A12,'Test Cases'!$N$5:$N$75,"Not Run")</f>
        <v>7</v>
      </c>
    </row>
    <row r="13" customFormat="false" ht="15" hidden="false" customHeight="false" outlineLevel="0" collapsed="false">
      <c r="A13" s="5" t="s">
        <v>29</v>
      </c>
      <c r="B13" s="6"/>
      <c r="C13" s="5" t="n">
        <f aca="false">SUM(C4:C12)</f>
        <v>33</v>
      </c>
      <c r="D13" s="5" t="n">
        <f aca="false">SUM(D4:D12)</f>
        <v>28</v>
      </c>
      <c r="E13" s="5" t="n">
        <f aca="false">SUM(E4:E12)</f>
        <v>10</v>
      </c>
      <c r="F13" s="5" t="n">
        <f aca="false">SUM(F4:F12)</f>
        <v>71</v>
      </c>
      <c r="G13" s="5" t="n">
        <f aca="false">SUM(G4:G12)</f>
        <v>0</v>
      </c>
      <c r="H13" s="5" t="n">
        <f aca="false">SUM(H4:H12)</f>
        <v>0</v>
      </c>
      <c r="I13" s="5" t="n">
        <f aca="false">SUM(I4:I12)</f>
        <v>0</v>
      </c>
      <c r="J13" s="5" t="n">
        <f aca="false">SUM(J4:J12)</f>
        <v>71</v>
      </c>
    </row>
    <row r="15" customFormat="false" ht="15" hidden="false" customHeight="false" outlineLevel="0" collapsed="false">
      <c r="A15" s="7" t="s">
        <v>30</v>
      </c>
      <c r="C15" s="8" t="str">
        <f aca="false">IF(G13+H13=0,"n/a",G13/(G13+H13))</f>
        <v>n/a</v>
      </c>
    </row>
    <row r="16" customFormat="false" ht="15" hidden="false" customHeight="false" outlineLevel="0" collapsed="false">
      <c r="A16" s="7" t="s">
        <v>31</v>
      </c>
      <c r="C16" s="8" t="n">
        <f aca="false">IF(F13=0,0,(F13-J13)/F13)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46"/>
    <col collapsed="false" customWidth="true" hidden="false" outlineLevel="0" max="10" min="10" style="0" width="30"/>
    <col collapsed="false" customWidth="true" hidden="false" outlineLevel="0" max="11" min="11" style="0" width="44"/>
    <col collapsed="false" customWidth="true" hidden="false" outlineLevel="0" max="12" min="12" style="0" width="14"/>
    <col collapsed="false" customWidth="true" hidden="false" outlineLevel="0" max="13" min="13" style="0" width="26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22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9" t="s">
        <v>33</v>
      </c>
    </row>
    <row r="4" customFormat="false" ht="31.5" hidden="false" customHeight="true" outlineLevel="0" collapsed="false">
      <c r="A4" s="10" t="s">
        <v>34</v>
      </c>
      <c r="B4" s="10" t="s">
        <v>1</v>
      </c>
      <c r="C4" s="10" t="s">
        <v>35</v>
      </c>
      <c r="D4" s="10" t="s">
        <v>36</v>
      </c>
      <c r="E4" s="10" t="s">
        <v>37</v>
      </c>
      <c r="F4" s="10" t="s">
        <v>38</v>
      </c>
      <c r="G4" s="10" t="s">
        <v>39</v>
      </c>
      <c r="H4" s="10" t="s">
        <v>40</v>
      </c>
      <c r="I4" s="10" t="s">
        <v>41</v>
      </c>
      <c r="J4" s="10" t="s">
        <v>42</v>
      </c>
      <c r="K4" s="10" t="s">
        <v>43</v>
      </c>
      <c r="L4" s="10" t="s">
        <v>44</v>
      </c>
      <c r="M4" s="10" t="s">
        <v>45</v>
      </c>
      <c r="N4" s="10" t="s">
        <v>46</v>
      </c>
      <c r="O4" s="10" t="s">
        <v>47</v>
      </c>
      <c r="P4" s="10" t="s">
        <v>48</v>
      </c>
      <c r="Q4" s="10" t="s">
        <v>49</v>
      </c>
    </row>
    <row r="5" customFormat="false" ht="57.45" hidden="false" customHeight="false" outlineLevel="0" collapsed="false">
      <c r="A5" s="11" t="s">
        <v>50</v>
      </c>
      <c r="B5" s="11" t="s">
        <v>11</v>
      </c>
      <c r="C5" s="12" t="s">
        <v>51</v>
      </c>
      <c r="D5" s="12" t="s">
        <v>52</v>
      </c>
      <c r="E5" s="12" t="s">
        <v>53</v>
      </c>
      <c r="F5" s="11" t="s">
        <v>3</v>
      </c>
      <c r="G5" s="11" t="s">
        <v>54</v>
      </c>
      <c r="H5" s="12" t="s">
        <v>55</v>
      </c>
      <c r="I5" s="12" t="s">
        <v>56</v>
      </c>
      <c r="J5" s="12" t="s">
        <v>57</v>
      </c>
      <c r="K5" s="12" t="s">
        <v>58</v>
      </c>
      <c r="L5" s="12" t="s">
        <v>59</v>
      </c>
      <c r="M5" s="12"/>
      <c r="N5" s="11" t="s">
        <v>10</v>
      </c>
      <c r="O5" s="12"/>
      <c r="P5" s="11"/>
      <c r="Q5" s="12"/>
    </row>
    <row r="6" customFormat="false" ht="35.05" hidden="false" customHeight="false" outlineLevel="0" collapsed="false">
      <c r="A6" s="11" t="s">
        <v>60</v>
      </c>
      <c r="B6" s="11" t="s">
        <v>11</v>
      </c>
      <c r="C6" s="12" t="s">
        <v>51</v>
      </c>
      <c r="D6" s="12" t="s">
        <v>52</v>
      </c>
      <c r="E6" s="12" t="s">
        <v>61</v>
      </c>
      <c r="F6" s="11" t="s">
        <v>3</v>
      </c>
      <c r="G6" s="11" t="s">
        <v>54</v>
      </c>
      <c r="H6" s="12" t="s">
        <v>62</v>
      </c>
      <c r="I6" s="12" t="s">
        <v>63</v>
      </c>
      <c r="J6" s="12" t="s">
        <v>64</v>
      </c>
      <c r="K6" s="12" t="s">
        <v>65</v>
      </c>
      <c r="L6" s="12" t="s">
        <v>2</v>
      </c>
      <c r="M6" s="12"/>
      <c r="N6" s="11" t="s">
        <v>10</v>
      </c>
      <c r="O6" s="12"/>
      <c r="P6" s="11"/>
      <c r="Q6" s="12"/>
    </row>
    <row r="7" customFormat="false" ht="35.05" hidden="false" customHeight="false" outlineLevel="0" collapsed="false">
      <c r="A7" s="11" t="s">
        <v>66</v>
      </c>
      <c r="B7" s="11" t="s">
        <v>11</v>
      </c>
      <c r="C7" s="12" t="s">
        <v>51</v>
      </c>
      <c r="D7" s="12" t="s">
        <v>52</v>
      </c>
      <c r="E7" s="12" t="s">
        <v>67</v>
      </c>
      <c r="F7" s="11" t="s">
        <v>4</v>
      </c>
      <c r="G7" s="11" t="s">
        <v>54</v>
      </c>
      <c r="H7" s="12" t="s">
        <v>68</v>
      </c>
      <c r="I7" s="12" t="s">
        <v>69</v>
      </c>
      <c r="J7" s="12" t="s">
        <v>70</v>
      </c>
      <c r="K7" s="12" t="s">
        <v>71</v>
      </c>
      <c r="L7" s="12" t="s">
        <v>72</v>
      </c>
      <c r="M7" s="12"/>
      <c r="N7" s="11" t="s">
        <v>10</v>
      </c>
      <c r="O7" s="12"/>
      <c r="P7" s="11"/>
      <c r="Q7" s="12"/>
    </row>
    <row r="8" customFormat="false" ht="35.05" hidden="false" customHeight="false" outlineLevel="0" collapsed="false">
      <c r="A8" s="11" t="s">
        <v>73</v>
      </c>
      <c r="B8" s="11" t="s">
        <v>11</v>
      </c>
      <c r="C8" s="12" t="s">
        <v>51</v>
      </c>
      <c r="D8" s="12" t="s">
        <v>52</v>
      </c>
      <c r="E8" s="12" t="s">
        <v>74</v>
      </c>
      <c r="F8" s="11" t="s">
        <v>4</v>
      </c>
      <c r="G8" s="11" t="s">
        <v>54</v>
      </c>
      <c r="H8" s="12" t="s">
        <v>68</v>
      </c>
      <c r="I8" s="12" t="s">
        <v>75</v>
      </c>
      <c r="J8" s="12" t="s">
        <v>76</v>
      </c>
      <c r="K8" s="12" t="s">
        <v>77</v>
      </c>
      <c r="L8" s="12" t="s">
        <v>72</v>
      </c>
      <c r="M8" s="12"/>
      <c r="N8" s="11" t="s">
        <v>10</v>
      </c>
      <c r="O8" s="12"/>
      <c r="P8" s="11"/>
      <c r="Q8" s="12"/>
    </row>
    <row r="9" customFormat="false" ht="35.05" hidden="false" customHeight="false" outlineLevel="0" collapsed="false">
      <c r="A9" s="11" t="s">
        <v>78</v>
      </c>
      <c r="B9" s="11" t="s">
        <v>11</v>
      </c>
      <c r="C9" s="12" t="s">
        <v>51</v>
      </c>
      <c r="D9" s="12" t="s">
        <v>52</v>
      </c>
      <c r="E9" s="12" t="s">
        <v>79</v>
      </c>
      <c r="F9" s="11" t="s">
        <v>4</v>
      </c>
      <c r="G9" s="11" t="s">
        <v>80</v>
      </c>
      <c r="H9" s="12" t="s">
        <v>68</v>
      </c>
      <c r="I9" s="12" t="s">
        <v>81</v>
      </c>
      <c r="J9" s="12" t="s">
        <v>82</v>
      </c>
      <c r="K9" s="12" t="s">
        <v>83</v>
      </c>
      <c r="L9" s="12" t="s">
        <v>72</v>
      </c>
      <c r="M9" s="12"/>
      <c r="N9" s="11" t="s">
        <v>10</v>
      </c>
      <c r="O9" s="12"/>
      <c r="P9" s="11"/>
      <c r="Q9" s="12"/>
    </row>
    <row r="10" customFormat="false" ht="35.05" hidden="false" customHeight="false" outlineLevel="0" collapsed="false">
      <c r="A10" s="11" t="s">
        <v>84</v>
      </c>
      <c r="B10" s="11" t="s">
        <v>11</v>
      </c>
      <c r="C10" s="12" t="s">
        <v>51</v>
      </c>
      <c r="D10" s="12" t="s">
        <v>52</v>
      </c>
      <c r="E10" s="12" t="s">
        <v>85</v>
      </c>
      <c r="F10" s="11" t="s">
        <v>4</v>
      </c>
      <c r="G10" s="11" t="s">
        <v>54</v>
      </c>
      <c r="H10" s="12" t="s">
        <v>86</v>
      </c>
      <c r="I10" s="12" t="s">
        <v>87</v>
      </c>
      <c r="J10" s="12" t="s">
        <v>88</v>
      </c>
      <c r="K10" s="12" t="s">
        <v>89</v>
      </c>
      <c r="L10" s="12" t="s">
        <v>90</v>
      </c>
      <c r="M10" s="12"/>
      <c r="N10" s="11" t="s">
        <v>10</v>
      </c>
      <c r="O10" s="12"/>
      <c r="P10" s="11"/>
      <c r="Q10" s="12"/>
    </row>
    <row r="11" customFormat="false" ht="23.85" hidden="false" customHeight="false" outlineLevel="0" collapsed="false">
      <c r="A11" s="11" t="s">
        <v>91</v>
      </c>
      <c r="B11" s="11" t="s">
        <v>11</v>
      </c>
      <c r="C11" s="12" t="s">
        <v>51</v>
      </c>
      <c r="D11" s="12" t="s">
        <v>52</v>
      </c>
      <c r="E11" s="12" t="s">
        <v>92</v>
      </c>
      <c r="F11" s="11" t="s">
        <v>4</v>
      </c>
      <c r="G11" s="11" t="s">
        <v>54</v>
      </c>
      <c r="H11" s="12" t="s">
        <v>93</v>
      </c>
      <c r="I11" s="12" t="s">
        <v>94</v>
      </c>
      <c r="J11" s="12" t="s">
        <v>95</v>
      </c>
      <c r="K11" s="12" t="s">
        <v>96</v>
      </c>
      <c r="L11" s="12" t="s">
        <v>2</v>
      </c>
      <c r="M11" s="12"/>
      <c r="N11" s="11" t="s">
        <v>10</v>
      </c>
      <c r="O11" s="12"/>
      <c r="P11" s="11"/>
      <c r="Q11" s="12"/>
    </row>
    <row r="12" customFormat="false" ht="23.85" hidden="false" customHeight="false" outlineLevel="0" collapsed="false">
      <c r="A12" s="11" t="s">
        <v>97</v>
      </c>
      <c r="B12" s="11" t="s">
        <v>11</v>
      </c>
      <c r="C12" s="12" t="s">
        <v>51</v>
      </c>
      <c r="D12" s="12" t="s">
        <v>52</v>
      </c>
      <c r="E12" s="12" t="s">
        <v>98</v>
      </c>
      <c r="F12" s="11" t="s">
        <v>4</v>
      </c>
      <c r="G12" s="11" t="s">
        <v>54</v>
      </c>
      <c r="H12" s="12" t="s">
        <v>99</v>
      </c>
      <c r="I12" s="12" t="s">
        <v>100</v>
      </c>
      <c r="J12" s="12" t="s">
        <v>101</v>
      </c>
      <c r="K12" s="12" t="s">
        <v>102</v>
      </c>
      <c r="L12" s="12" t="s">
        <v>2</v>
      </c>
      <c r="M12" s="12"/>
      <c r="N12" s="11" t="s">
        <v>10</v>
      </c>
      <c r="O12" s="12"/>
      <c r="P12" s="11"/>
      <c r="Q12" s="12"/>
    </row>
    <row r="13" customFormat="false" ht="35.05" hidden="false" customHeight="false" outlineLevel="0" collapsed="false">
      <c r="A13" s="11" t="s">
        <v>103</v>
      </c>
      <c r="B13" s="11" t="s">
        <v>11</v>
      </c>
      <c r="C13" s="12" t="s">
        <v>51</v>
      </c>
      <c r="D13" s="12" t="s">
        <v>52</v>
      </c>
      <c r="E13" s="12" t="s">
        <v>104</v>
      </c>
      <c r="F13" s="11" t="s">
        <v>5</v>
      </c>
      <c r="G13" s="11" t="s">
        <v>80</v>
      </c>
      <c r="H13" s="12" t="s">
        <v>105</v>
      </c>
      <c r="I13" s="12" t="s">
        <v>106</v>
      </c>
      <c r="J13" s="12" t="s">
        <v>107</v>
      </c>
      <c r="K13" s="12" t="s">
        <v>108</v>
      </c>
      <c r="L13" s="12" t="s">
        <v>2</v>
      </c>
      <c r="M13" s="12"/>
      <c r="N13" s="11" t="s">
        <v>10</v>
      </c>
      <c r="O13" s="12"/>
      <c r="P13" s="11"/>
      <c r="Q13" s="12"/>
    </row>
    <row r="14" customFormat="false" ht="46.25" hidden="false" customHeight="false" outlineLevel="0" collapsed="false">
      <c r="A14" s="11" t="s">
        <v>109</v>
      </c>
      <c r="B14" s="11" t="s">
        <v>13</v>
      </c>
      <c r="C14" s="12" t="s">
        <v>110</v>
      </c>
      <c r="D14" s="12" t="s">
        <v>111</v>
      </c>
      <c r="E14" s="12" t="s">
        <v>112</v>
      </c>
      <c r="F14" s="11" t="s">
        <v>3</v>
      </c>
      <c r="G14" s="11" t="s">
        <v>54</v>
      </c>
      <c r="H14" s="12" t="s">
        <v>113</v>
      </c>
      <c r="I14" s="12" t="s">
        <v>114</v>
      </c>
      <c r="J14" s="12" t="s">
        <v>115</v>
      </c>
      <c r="K14" s="12" t="s">
        <v>116</v>
      </c>
      <c r="L14" s="12" t="s">
        <v>117</v>
      </c>
      <c r="M14" s="12"/>
      <c r="N14" s="11" t="s">
        <v>10</v>
      </c>
      <c r="O14" s="12"/>
      <c r="P14" s="11"/>
      <c r="Q14" s="12"/>
    </row>
    <row r="15" customFormat="false" ht="46.25" hidden="false" customHeight="false" outlineLevel="0" collapsed="false">
      <c r="A15" s="11" t="s">
        <v>118</v>
      </c>
      <c r="B15" s="11" t="s">
        <v>13</v>
      </c>
      <c r="C15" s="12" t="s">
        <v>110</v>
      </c>
      <c r="D15" s="12" t="s">
        <v>111</v>
      </c>
      <c r="E15" s="12" t="s">
        <v>119</v>
      </c>
      <c r="F15" s="11" t="s">
        <v>3</v>
      </c>
      <c r="G15" s="11" t="s">
        <v>54</v>
      </c>
      <c r="H15" s="12" t="s">
        <v>120</v>
      </c>
      <c r="I15" s="12" t="s">
        <v>121</v>
      </c>
      <c r="J15" s="12" t="s">
        <v>122</v>
      </c>
      <c r="K15" s="12" t="s">
        <v>123</v>
      </c>
      <c r="L15" s="12" t="s">
        <v>124</v>
      </c>
      <c r="M15" s="12"/>
      <c r="N15" s="11" t="s">
        <v>10</v>
      </c>
      <c r="O15" s="12"/>
      <c r="P15" s="11"/>
      <c r="Q15" s="12"/>
    </row>
    <row r="16" customFormat="false" ht="35.05" hidden="false" customHeight="false" outlineLevel="0" collapsed="false">
      <c r="A16" s="11" t="s">
        <v>125</v>
      </c>
      <c r="B16" s="11" t="s">
        <v>13</v>
      </c>
      <c r="C16" s="12" t="s">
        <v>110</v>
      </c>
      <c r="D16" s="12" t="s">
        <v>111</v>
      </c>
      <c r="E16" s="12" t="s">
        <v>126</v>
      </c>
      <c r="F16" s="11" t="s">
        <v>3</v>
      </c>
      <c r="G16" s="11" t="s">
        <v>54</v>
      </c>
      <c r="H16" s="12" t="s">
        <v>120</v>
      </c>
      <c r="I16" s="12" t="s">
        <v>127</v>
      </c>
      <c r="J16" s="12" t="s">
        <v>128</v>
      </c>
      <c r="K16" s="12" t="s">
        <v>129</v>
      </c>
      <c r="L16" s="12" t="s">
        <v>130</v>
      </c>
      <c r="M16" s="12"/>
      <c r="N16" s="11" t="s">
        <v>10</v>
      </c>
      <c r="O16" s="12"/>
      <c r="P16" s="11"/>
      <c r="Q16" s="12"/>
    </row>
    <row r="17" customFormat="false" ht="23.85" hidden="false" customHeight="false" outlineLevel="0" collapsed="false">
      <c r="A17" s="11" t="s">
        <v>131</v>
      </c>
      <c r="B17" s="11" t="s">
        <v>13</v>
      </c>
      <c r="C17" s="12" t="s">
        <v>110</v>
      </c>
      <c r="D17" s="12" t="s">
        <v>111</v>
      </c>
      <c r="E17" s="12" t="s">
        <v>132</v>
      </c>
      <c r="F17" s="11" t="s">
        <v>3</v>
      </c>
      <c r="G17" s="11" t="s">
        <v>54</v>
      </c>
      <c r="H17" s="12" t="s">
        <v>133</v>
      </c>
      <c r="I17" s="12" t="s">
        <v>134</v>
      </c>
      <c r="J17" s="12" t="s">
        <v>135</v>
      </c>
      <c r="K17" s="12" t="s">
        <v>136</v>
      </c>
      <c r="L17" s="12" t="s">
        <v>137</v>
      </c>
      <c r="M17" s="12"/>
      <c r="N17" s="11" t="s">
        <v>10</v>
      </c>
      <c r="O17" s="12"/>
      <c r="P17" s="11"/>
      <c r="Q17" s="12"/>
    </row>
    <row r="18" customFormat="false" ht="35.05" hidden="false" customHeight="false" outlineLevel="0" collapsed="false">
      <c r="A18" s="11" t="s">
        <v>138</v>
      </c>
      <c r="B18" s="11" t="s">
        <v>13</v>
      </c>
      <c r="C18" s="12" t="s">
        <v>110</v>
      </c>
      <c r="D18" s="12" t="s">
        <v>111</v>
      </c>
      <c r="E18" s="12" t="s">
        <v>139</v>
      </c>
      <c r="F18" s="11" t="s">
        <v>4</v>
      </c>
      <c r="G18" s="11" t="s">
        <v>54</v>
      </c>
      <c r="H18" s="12" t="s">
        <v>140</v>
      </c>
      <c r="I18" s="12" t="s">
        <v>141</v>
      </c>
      <c r="J18" s="12" t="s">
        <v>142</v>
      </c>
      <c r="K18" s="12" t="s">
        <v>143</v>
      </c>
      <c r="L18" s="12" t="s">
        <v>144</v>
      </c>
      <c r="M18" s="12"/>
      <c r="N18" s="11" t="s">
        <v>10</v>
      </c>
      <c r="O18" s="12"/>
      <c r="P18" s="11"/>
      <c r="Q18" s="12"/>
    </row>
    <row r="19" customFormat="false" ht="23.85" hidden="false" customHeight="false" outlineLevel="0" collapsed="false">
      <c r="A19" s="11" t="s">
        <v>145</v>
      </c>
      <c r="B19" s="11" t="s">
        <v>13</v>
      </c>
      <c r="C19" s="12" t="s">
        <v>110</v>
      </c>
      <c r="D19" s="12" t="s">
        <v>111</v>
      </c>
      <c r="E19" s="12" t="s">
        <v>146</v>
      </c>
      <c r="F19" s="11" t="s">
        <v>4</v>
      </c>
      <c r="G19" s="11" t="s">
        <v>80</v>
      </c>
      <c r="H19" s="12" t="s">
        <v>147</v>
      </c>
      <c r="I19" s="12" t="s">
        <v>148</v>
      </c>
      <c r="J19" s="12" t="s">
        <v>135</v>
      </c>
      <c r="K19" s="12" t="s">
        <v>149</v>
      </c>
      <c r="L19" s="12" t="s">
        <v>150</v>
      </c>
      <c r="M19" s="12"/>
      <c r="N19" s="11" t="s">
        <v>10</v>
      </c>
      <c r="O19" s="12"/>
      <c r="P19" s="11"/>
      <c r="Q19" s="12"/>
    </row>
    <row r="20" customFormat="false" ht="23.85" hidden="false" customHeight="false" outlineLevel="0" collapsed="false">
      <c r="A20" s="11" t="s">
        <v>151</v>
      </c>
      <c r="B20" s="11" t="s">
        <v>13</v>
      </c>
      <c r="C20" s="12" t="s">
        <v>110</v>
      </c>
      <c r="D20" s="12" t="s">
        <v>111</v>
      </c>
      <c r="E20" s="12" t="s">
        <v>152</v>
      </c>
      <c r="F20" s="11" t="s">
        <v>4</v>
      </c>
      <c r="G20" s="11" t="s">
        <v>80</v>
      </c>
      <c r="H20" s="12" t="s">
        <v>153</v>
      </c>
      <c r="I20" s="12" t="s">
        <v>154</v>
      </c>
      <c r="J20" s="12" t="s">
        <v>135</v>
      </c>
      <c r="K20" s="12" t="s">
        <v>155</v>
      </c>
      <c r="L20" s="12" t="s">
        <v>130</v>
      </c>
      <c r="M20" s="12"/>
      <c r="N20" s="11" t="s">
        <v>10</v>
      </c>
      <c r="O20" s="12"/>
      <c r="P20" s="11"/>
      <c r="Q20" s="12"/>
    </row>
    <row r="21" customFormat="false" ht="23.85" hidden="false" customHeight="false" outlineLevel="0" collapsed="false">
      <c r="A21" s="11" t="s">
        <v>156</v>
      </c>
      <c r="B21" s="11" t="s">
        <v>13</v>
      </c>
      <c r="C21" s="12" t="s">
        <v>110</v>
      </c>
      <c r="D21" s="12" t="s">
        <v>111</v>
      </c>
      <c r="E21" s="12" t="s">
        <v>157</v>
      </c>
      <c r="F21" s="11" t="s">
        <v>5</v>
      </c>
      <c r="G21" s="11" t="s">
        <v>54</v>
      </c>
      <c r="H21" s="12" t="s">
        <v>158</v>
      </c>
      <c r="I21" s="12" t="s">
        <v>159</v>
      </c>
      <c r="J21" s="12" t="s">
        <v>160</v>
      </c>
      <c r="K21" s="12" t="s">
        <v>161</v>
      </c>
      <c r="L21" s="12" t="s">
        <v>144</v>
      </c>
      <c r="M21" s="12"/>
      <c r="N21" s="11" t="s">
        <v>10</v>
      </c>
      <c r="O21" s="12"/>
      <c r="P21" s="11"/>
      <c r="Q21" s="12"/>
    </row>
    <row r="22" customFormat="false" ht="35.05" hidden="false" customHeight="false" outlineLevel="0" collapsed="false">
      <c r="A22" s="11" t="s">
        <v>162</v>
      </c>
      <c r="B22" s="11" t="s">
        <v>15</v>
      </c>
      <c r="C22" s="12" t="s">
        <v>110</v>
      </c>
      <c r="D22" s="12" t="s">
        <v>163</v>
      </c>
      <c r="E22" s="12" t="s">
        <v>164</v>
      </c>
      <c r="F22" s="11" t="s">
        <v>3</v>
      </c>
      <c r="G22" s="11" t="s">
        <v>54</v>
      </c>
      <c r="H22" s="12" t="s">
        <v>165</v>
      </c>
      <c r="I22" s="12" t="s">
        <v>166</v>
      </c>
      <c r="J22" s="12" t="s">
        <v>167</v>
      </c>
      <c r="K22" s="12" t="s">
        <v>168</v>
      </c>
      <c r="L22" s="12" t="s">
        <v>169</v>
      </c>
      <c r="M22" s="12"/>
      <c r="N22" s="11" t="s">
        <v>10</v>
      </c>
      <c r="O22" s="12"/>
      <c r="P22" s="11"/>
      <c r="Q22" s="12"/>
    </row>
    <row r="23" customFormat="false" ht="35.05" hidden="false" customHeight="false" outlineLevel="0" collapsed="false">
      <c r="A23" s="11" t="s">
        <v>170</v>
      </c>
      <c r="B23" s="11" t="s">
        <v>15</v>
      </c>
      <c r="C23" s="12" t="s">
        <v>110</v>
      </c>
      <c r="D23" s="12" t="s">
        <v>163</v>
      </c>
      <c r="E23" s="12" t="s">
        <v>171</v>
      </c>
      <c r="F23" s="11" t="s">
        <v>4</v>
      </c>
      <c r="G23" s="11" t="s">
        <v>54</v>
      </c>
      <c r="H23" s="12" t="s">
        <v>165</v>
      </c>
      <c r="I23" s="12" t="s">
        <v>172</v>
      </c>
      <c r="J23" s="12" t="s">
        <v>173</v>
      </c>
      <c r="K23" s="12" t="s">
        <v>174</v>
      </c>
      <c r="L23" s="12" t="s">
        <v>175</v>
      </c>
      <c r="M23" s="12"/>
      <c r="N23" s="11" t="s">
        <v>10</v>
      </c>
      <c r="O23" s="12"/>
      <c r="P23" s="11"/>
      <c r="Q23" s="12"/>
    </row>
    <row r="24" customFormat="false" ht="35.05" hidden="false" customHeight="false" outlineLevel="0" collapsed="false">
      <c r="A24" s="11" t="s">
        <v>176</v>
      </c>
      <c r="B24" s="11" t="s">
        <v>15</v>
      </c>
      <c r="C24" s="12" t="s">
        <v>110</v>
      </c>
      <c r="D24" s="12" t="s">
        <v>163</v>
      </c>
      <c r="E24" s="12" t="s">
        <v>177</v>
      </c>
      <c r="F24" s="11" t="s">
        <v>4</v>
      </c>
      <c r="G24" s="11" t="s">
        <v>54</v>
      </c>
      <c r="H24" s="12" t="s">
        <v>165</v>
      </c>
      <c r="I24" s="12" t="s">
        <v>178</v>
      </c>
      <c r="J24" s="12" t="s">
        <v>179</v>
      </c>
      <c r="K24" s="12" t="s">
        <v>180</v>
      </c>
      <c r="L24" s="12" t="s">
        <v>72</v>
      </c>
      <c r="M24" s="12"/>
      <c r="N24" s="11" t="s">
        <v>10</v>
      </c>
      <c r="O24" s="12"/>
      <c r="P24" s="11"/>
      <c r="Q24" s="12"/>
    </row>
    <row r="25" customFormat="false" ht="35.05" hidden="false" customHeight="false" outlineLevel="0" collapsed="false">
      <c r="A25" s="11" t="s">
        <v>181</v>
      </c>
      <c r="B25" s="11" t="s">
        <v>15</v>
      </c>
      <c r="C25" s="12" t="s">
        <v>110</v>
      </c>
      <c r="D25" s="12" t="s">
        <v>163</v>
      </c>
      <c r="E25" s="12" t="s">
        <v>182</v>
      </c>
      <c r="F25" s="11" t="s">
        <v>4</v>
      </c>
      <c r="G25" s="11" t="s">
        <v>80</v>
      </c>
      <c r="H25" s="12" t="s">
        <v>165</v>
      </c>
      <c r="I25" s="12" t="s">
        <v>183</v>
      </c>
      <c r="J25" s="12" t="s">
        <v>184</v>
      </c>
      <c r="K25" s="12" t="s">
        <v>185</v>
      </c>
      <c r="L25" s="12" t="s">
        <v>90</v>
      </c>
      <c r="M25" s="12"/>
      <c r="N25" s="11" t="s">
        <v>10</v>
      </c>
      <c r="O25" s="12"/>
      <c r="P25" s="11"/>
      <c r="Q25" s="12"/>
    </row>
    <row r="26" customFormat="false" ht="35.05" hidden="false" customHeight="false" outlineLevel="0" collapsed="false">
      <c r="A26" s="11" t="s">
        <v>186</v>
      </c>
      <c r="B26" s="11" t="s">
        <v>15</v>
      </c>
      <c r="C26" s="12" t="s">
        <v>110</v>
      </c>
      <c r="D26" s="12" t="s">
        <v>163</v>
      </c>
      <c r="E26" s="12" t="s">
        <v>187</v>
      </c>
      <c r="F26" s="11" t="s">
        <v>4</v>
      </c>
      <c r="G26" s="11" t="s">
        <v>54</v>
      </c>
      <c r="H26" s="12" t="s">
        <v>188</v>
      </c>
      <c r="I26" s="12" t="s">
        <v>189</v>
      </c>
      <c r="J26" s="12" t="s">
        <v>190</v>
      </c>
      <c r="K26" s="12" t="s">
        <v>191</v>
      </c>
      <c r="L26" s="12" t="s">
        <v>130</v>
      </c>
      <c r="M26" s="12"/>
      <c r="N26" s="11" t="s">
        <v>10</v>
      </c>
      <c r="O26" s="12"/>
      <c r="P26" s="11"/>
      <c r="Q26" s="12"/>
    </row>
    <row r="27" customFormat="false" ht="35.05" hidden="false" customHeight="false" outlineLevel="0" collapsed="false">
      <c r="A27" s="11" t="s">
        <v>192</v>
      </c>
      <c r="B27" s="11" t="s">
        <v>15</v>
      </c>
      <c r="C27" s="12" t="s">
        <v>110</v>
      </c>
      <c r="D27" s="12" t="s">
        <v>163</v>
      </c>
      <c r="E27" s="12" t="s">
        <v>193</v>
      </c>
      <c r="F27" s="11" t="s">
        <v>3</v>
      </c>
      <c r="G27" s="11" t="s">
        <v>80</v>
      </c>
      <c r="H27" s="12" t="s">
        <v>194</v>
      </c>
      <c r="I27" s="12" t="s">
        <v>195</v>
      </c>
      <c r="J27" s="12" t="s">
        <v>196</v>
      </c>
      <c r="K27" s="12" t="s">
        <v>197</v>
      </c>
      <c r="L27" s="12" t="s">
        <v>130</v>
      </c>
      <c r="M27" s="12"/>
      <c r="N27" s="11" t="s">
        <v>10</v>
      </c>
      <c r="O27" s="12"/>
      <c r="P27" s="11"/>
      <c r="Q27" s="12"/>
    </row>
    <row r="28" customFormat="false" ht="35.05" hidden="false" customHeight="false" outlineLevel="0" collapsed="false">
      <c r="A28" s="11" t="s">
        <v>198</v>
      </c>
      <c r="B28" s="11" t="s">
        <v>15</v>
      </c>
      <c r="C28" s="12" t="s">
        <v>110</v>
      </c>
      <c r="D28" s="12" t="s">
        <v>163</v>
      </c>
      <c r="E28" s="12" t="s">
        <v>199</v>
      </c>
      <c r="F28" s="11" t="s">
        <v>5</v>
      </c>
      <c r="G28" s="11" t="s">
        <v>80</v>
      </c>
      <c r="H28" s="12" t="s">
        <v>200</v>
      </c>
      <c r="I28" s="12" t="s">
        <v>201</v>
      </c>
      <c r="J28" s="12" t="s">
        <v>202</v>
      </c>
      <c r="K28" s="12" t="s">
        <v>203</v>
      </c>
      <c r="L28" s="12" t="s">
        <v>150</v>
      </c>
      <c r="M28" s="12"/>
      <c r="N28" s="11" t="s">
        <v>10</v>
      </c>
      <c r="O28" s="12"/>
      <c r="P28" s="11"/>
      <c r="Q28" s="12"/>
    </row>
    <row r="29" customFormat="false" ht="35.05" hidden="false" customHeight="false" outlineLevel="0" collapsed="false">
      <c r="A29" s="11" t="s">
        <v>204</v>
      </c>
      <c r="B29" s="11" t="s">
        <v>17</v>
      </c>
      <c r="C29" s="12" t="s">
        <v>110</v>
      </c>
      <c r="D29" s="12" t="s">
        <v>205</v>
      </c>
      <c r="E29" s="12" t="s">
        <v>206</v>
      </c>
      <c r="F29" s="11" t="s">
        <v>3</v>
      </c>
      <c r="G29" s="11" t="s">
        <v>54</v>
      </c>
      <c r="H29" s="12" t="s">
        <v>165</v>
      </c>
      <c r="I29" s="12" t="s">
        <v>207</v>
      </c>
      <c r="J29" s="12" t="s">
        <v>208</v>
      </c>
      <c r="K29" s="12" t="s">
        <v>209</v>
      </c>
      <c r="L29" s="12" t="s">
        <v>175</v>
      </c>
      <c r="M29" s="12"/>
      <c r="N29" s="11" t="s">
        <v>10</v>
      </c>
      <c r="O29" s="12"/>
      <c r="P29" s="11"/>
      <c r="Q29" s="12"/>
    </row>
    <row r="30" customFormat="false" ht="35.05" hidden="false" customHeight="false" outlineLevel="0" collapsed="false">
      <c r="A30" s="11" t="s">
        <v>210</v>
      </c>
      <c r="B30" s="11" t="s">
        <v>17</v>
      </c>
      <c r="C30" s="12" t="s">
        <v>110</v>
      </c>
      <c r="D30" s="12" t="s">
        <v>205</v>
      </c>
      <c r="E30" s="12" t="s">
        <v>211</v>
      </c>
      <c r="F30" s="11" t="s">
        <v>3</v>
      </c>
      <c r="G30" s="11" t="s">
        <v>54</v>
      </c>
      <c r="H30" s="12" t="s">
        <v>165</v>
      </c>
      <c r="I30" s="12" t="s">
        <v>212</v>
      </c>
      <c r="J30" s="12" t="s">
        <v>213</v>
      </c>
      <c r="K30" s="12" t="s">
        <v>214</v>
      </c>
      <c r="L30" s="12" t="s">
        <v>90</v>
      </c>
      <c r="M30" s="12"/>
      <c r="N30" s="11" t="s">
        <v>10</v>
      </c>
      <c r="O30" s="12"/>
      <c r="P30" s="11"/>
      <c r="Q30" s="12"/>
    </row>
    <row r="31" customFormat="false" ht="23.85" hidden="false" customHeight="false" outlineLevel="0" collapsed="false">
      <c r="A31" s="11" t="s">
        <v>215</v>
      </c>
      <c r="B31" s="11" t="s">
        <v>17</v>
      </c>
      <c r="C31" s="12" t="s">
        <v>110</v>
      </c>
      <c r="D31" s="12" t="s">
        <v>205</v>
      </c>
      <c r="E31" s="12" t="s">
        <v>216</v>
      </c>
      <c r="F31" s="11" t="s">
        <v>3</v>
      </c>
      <c r="G31" s="11" t="s">
        <v>80</v>
      </c>
      <c r="H31" s="12" t="s">
        <v>217</v>
      </c>
      <c r="I31" s="12" t="s">
        <v>218</v>
      </c>
      <c r="J31" s="12" t="s">
        <v>135</v>
      </c>
      <c r="K31" s="12" t="s">
        <v>219</v>
      </c>
      <c r="L31" s="12" t="s">
        <v>90</v>
      </c>
      <c r="M31" s="12"/>
      <c r="N31" s="11" t="s">
        <v>10</v>
      </c>
      <c r="O31" s="12"/>
      <c r="P31" s="11"/>
      <c r="Q31" s="12"/>
    </row>
    <row r="32" customFormat="false" ht="23.85" hidden="false" customHeight="false" outlineLevel="0" collapsed="false">
      <c r="A32" s="11" t="s">
        <v>220</v>
      </c>
      <c r="B32" s="11" t="s">
        <v>17</v>
      </c>
      <c r="C32" s="12" t="s">
        <v>110</v>
      </c>
      <c r="D32" s="12" t="s">
        <v>205</v>
      </c>
      <c r="E32" s="12" t="s">
        <v>221</v>
      </c>
      <c r="F32" s="11" t="s">
        <v>3</v>
      </c>
      <c r="G32" s="11" t="s">
        <v>54</v>
      </c>
      <c r="H32" s="12" t="s">
        <v>222</v>
      </c>
      <c r="I32" s="12" t="s">
        <v>223</v>
      </c>
      <c r="J32" s="12" t="s">
        <v>135</v>
      </c>
      <c r="K32" s="12" t="s">
        <v>224</v>
      </c>
      <c r="L32" s="12" t="s">
        <v>225</v>
      </c>
      <c r="M32" s="12"/>
      <c r="N32" s="11" t="s">
        <v>10</v>
      </c>
      <c r="O32" s="12"/>
      <c r="P32" s="11"/>
      <c r="Q32" s="12"/>
    </row>
    <row r="33" customFormat="false" ht="23.85" hidden="false" customHeight="false" outlineLevel="0" collapsed="false">
      <c r="A33" s="11" t="s">
        <v>226</v>
      </c>
      <c r="B33" s="11" t="s">
        <v>17</v>
      </c>
      <c r="C33" s="12" t="s">
        <v>110</v>
      </c>
      <c r="D33" s="12" t="s">
        <v>205</v>
      </c>
      <c r="E33" s="12" t="s">
        <v>227</v>
      </c>
      <c r="F33" s="11" t="s">
        <v>4</v>
      </c>
      <c r="G33" s="11" t="s">
        <v>54</v>
      </c>
      <c r="H33" s="12" t="s">
        <v>165</v>
      </c>
      <c r="I33" s="12" t="s">
        <v>228</v>
      </c>
      <c r="J33" s="12" t="s">
        <v>229</v>
      </c>
      <c r="K33" s="12" t="s">
        <v>230</v>
      </c>
      <c r="L33" s="12" t="s">
        <v>72</v>
      </c>
      <c r="M33" s="12"/>
      <c r="N33" s="11" t="s">
        <v>10</v>
      </c>
      <c r="O33" s="12"/>
      <c r="P33" s="11"/>
      <c r="Q33" s="12"/>
    </row>
    <row r="34" customFormat="false" ht="35.05" hidden="false" customHeight="false" outlineLevel="0" collapsed="false">
      <c r="A34" s="11" t="s">
        <v>231</v>
      </c>
      <c r="B34" s="11" t="s">
        <v>17</v>
      </c>
      <c r="C34" s="12" t="s">
        <v>110</v>
      </c>
      <c r="D34" s="12" t="s">
        <v>205</v>
      </c>
      <c r="E34" s="12" t="s">
        <v>232</v>
      </c>
      <c r="F34" s="11" t="s">
        <v>4</v>
      </c>
      <c r="G34" s="11" t="s">
        <v>80</v>
      </c>
      <c r="H34" s="12" t="s">
        <v>233</v>
      </c>
      <c r="I34" s="12" t="s">
        <v>234</v>
      </c>
      <c r="J34" s="12" t="s">
        <v>235</v>
      </c>
      <c r="K34" s="12" t="s">
        <v>236</v>
      </c>
      <c r="L34" s="12" t="s">
        <v>72</v>
      </c>
      <c r="M34" s="12"/>
      <c r="N34" s="11" t="s">
        <v>10</v>
      </c>
      <c r="O34" s="12"/>
      <c r="P34" s="11"/>
      <c r="Q34" s="12"/>
    </row>
    <row r="35" customFormat="false" ht="23.85" hidden="false" customHeight="false" outlineLevel="0" collapsed="false">
      <c r="A35" s="11" t="s">
        <v>237</v>
      </c>
      <c r="B35" s="11" t="s">
        <v>17</v>
      </c>
      <c r="C35" s="12" t="s">
        <v>110</v>
      </c>
      <c r="D35" s="12" t="s">
        <v>205</v>
      </c>
      <c r="E35" s="12" t="s">
        <v>238</v>
      </c>
      <c r="F35" s="11" t="s">
        <v>4</v>
      </c>
      <c r="G35" s="11" t="s">
        <v>54</v>
      </c>
      <c r="H35" s="12" t="s">
        <v>239</v>
      </c>
      <c r="I35" s="12" t="s">
        <v>240</v>
      </c>
      <c r="J35" s="12" t="s">
        <v>241</v>
      </c>
      <c r="K35" s="12" t="s">
        <v>242</v>
      </c>
      <c r="L35" s="12" t="s">
        <v>243</v>
      </c>
      <c r="M35" s="12"/>
      <c r="N35" s="11" t="s">
        <v>10</v>
      </c>
      <c r="O35" s="12"/>
      <c r="P35" s="11"/>
      <c r="Q35" s="12"/>
    </row>
    <row r="36" customFormat="false" ht="23.85" hidden="false" customHeight="false" outlineLevel="0" collapsed="false">
      <c r="A36" s="11" t="s">
        <v>244</v>
      </c>
      <c r="B36" s="11" t="s">
        <v>17</v>
      </c>
      <c r="C36" s="12" t="s">
        <v>110</v>
      </c>
      <c r="D36" s="12" t="s">
        <v>205</v>
      </c>
      <c r="E36" s="12" t="s">
        <v>245</v>
      </c>
      <c r="F36" s="11" t="s">
        <v>5</v>
      </c>
      <c r="G36" s="11" t="s">
        <v>80</v>
      </c>
      <c r="H36" s="12" t="s">
        <v>246</v>
      </c>
      <c r="I36" s="12" t="s">
        <v>247</v>
      </c>
      <c r="J36" s="12" t="s">
        <v>248</v>
      </c>
      <c r="K36" s="12" t="s">
        <v>249</v>
      </c>
      <c r="L36" s="12" t="s">
        <v>243</v>
      </c>
      <c r="M36" s="12"/>
      <c r="N36" s="11" t="s">
        <v>10</v>
      </c>
      <c r="O36" s="12"/>
      <c r="P36" s="11"/>
      <c r="Q36" s="12"/>
    </row>
    <row r="37" customFormat="false" ht="23.85" hidden="false" customHeight="false" outlineLevel="0" collapsed="false">
      <c r="A37" s="11" t="s">
        <v>250</v>
      </c>
      <c r="B37" s="11" t="s">
        <v>19</v>
      </c>
      <c r="C37" s="12" t="s">
        <v>110</v>
      </c>
      <c r="D37" s="12" t="s">
        <v>251</v>
      </c>
      <c r="E37" s="12" t="s">
        <v>252</v>
      </c>
      <c r="F37" s="11" t="s">
        <v>3</v>
      </c>
      <c r="G37" s="11" t="s">
        <v>54</v>
      </c>
      <c r="H37" s="12" t="s">
        <v>253</v>
      </c>
      <c r="I37" s="12" t="s">
        <v>254</v>
      </c>
      <c r="J37" s="12" t="s">
        <v>135</v>
      </c>
      <c r="K37" s="12" t="s">
        <v>255</v>
      </c>
      <c r="L37" s="12" t="s">
        <v>90</v>
      </c>
      <c r="M37" s="12"/>
      <c r="N37" s="11" t="s">
        <v>10</v>
      </c>
      <c r="O37" s="12"/>
      <c r="P37" s="11"/>
      <c r="Q37" s="12"/>
    </row>
    <row r="38" customFormat="false" ht="23.85" hidden="false" customHeight="false" outlineLevel="0" collapsed="false">
      <c r="A38" s="11" t="s">
        <v>256</v>
      </c>
      <c r="B38" s="11" t="s">
        <v>19</v>
      </c>
      <c r="C38" s="12" t="s">
        <v>110</v>
      </c>
      <c r="D38" s="12" t="s">
        <v>251</v>
      </c>
      <c r="E38" s="12" t="s">
        <v>257</v>
      </c>
      <c r="F38" s="11" t="s">
        <v>3</v>
      </c>
      <c r="G38" s="11" t="s">
        <v>54</v>
      </c>
      <c r="H38" s="12" t="s">
        <v>258</v>
      </c>
      <c r="I38" s="12" t="s">
        <v>259</v>
      </c>
      <c r="J38" s="12" t="s">
        <v>260</v>
      </c>
      <c r="K38" s="12" t="s">
        <v>261</v>
      </c>
      <c r="L38" s="12" t="s">
        <v>72</v>
      </c>
      <c r="M38" s="12"/>
      <c r="N38" s="11" t="s">
        <v>10</v>
      </c>
      <c r="O38" s="12"/>
      <c r="P38" s="11"/>
      <c r="Q38" s="12"/>
    </row>
    <row r="39" customFormat="false" ht="23.85" hidden="false" customHeight="false" outlineLevel="0" collapsed="false">
      <c r="A39" s="11" t="s">
        <v>262</v>
      </c>
      <c r="B39" s="11" t="s">
        <v>19</v>
      </c>
      <c r="C39" s="12" t="s">
        <v>110</v>
      </c>
      <c r="D39" s="12" t="s">
        <v>251</v>
      </c>
      <c r="E39" s="12" t="s">
        <v>263</v>
      </c>
      <c r="F39" s="11" t="s">
        <v>3</v>
      </c>
      <c r="G39" s="11" t="s">
        <v>54</v>
      </c>
      <c r="H39" s="12" t="s">
        <v>264</v>
      </c>
      <c r="I39" s="12" t="s">
        <v>265</v>
      </c>
      <c r="J39" s="12" t="s">
        <v>135</v>
      </c>
      <c r="K39" s="12" t="s">
        <v>266</v>
      </c>
      <c r="L39" s="12" t="s">
        <v>130</v>
      </c>
      <c r="M39" s="12"/>
      <c r="N39" s="11" t="s">
        <v>10</v>
      </c>
      <c r="O39" s="12"/>
      <c r="P39" s="11"/>
      <c r="Q39" s="12"/>
    </row>
    <row r="40" customFormat="false" ht="23.85" hidden="false" customHeight="false" outlineLevel="0" collapsed="false">
      <c r="A40" s="11" t="s">
        <v>267</v>
      </c>
      <c r="B40" s="11" t="s">
        <v>19</v>
      </c>
      <c r="C40" s="12" t="s">
        <v>110</v>
      </c>
      <c r="D40" s="12" t="s">
        <v>251</v>
      </c>
      <c r="E40" s="12" t="s">
        <v>268</v>
      </c>
      <c r="F40" s="11" t="s">
        <v>4</v>
      </c>
      <c r="G40" s="11" t="s">
        <v>269</v>
      </c>
      <c r="H40" s="12" t="s">
        <v>270</v>
      </c>
      <c r="I40" s="12" t="s">
        <v>271</v>
      </c>
      <c r="J40" s="12" t="s">
        <v>272</v>
      </c>
      <c r="K40" s="12" t="s">
        <v>273</v>
      </c>
      <c r="L40" s="12" t="s">
        <v>72</v>
      </c>
      <c r="M40" s="12"/>
      <c r="N40" s="11" t="s">
        <v>10</v>
      </c>
      <c r="O40" s="12"/>
      <c r="P40" s="11"/>
      <c r="Q40" s="12"/>
    </row>
    <row r="41" customFormat="false" ht="23.85" hidden="false" customHeight="false" outlineLevel="0" collapsed="false">
      <c r="A41" s="11" t="s">
        <v>274</v>
      </c>
      <c r="B41" s="11" t="s">
        <v>19</v>
      </c>
      <c r="C41" s="12" t="s">
        <v>110</v>
      </c>
      <c r="D41" s="12" t="s">
        <v>251</v>
      </c>
      <c r="E41" s="12" t="s">
        <v>275</v>
      </c>
      <c r="F41" s="11" t="s">
        <v>4</v>
      </c>
      <c r="G41" s="11" t="s">
        <v>54</v>
      </c>
      <c r="H41" s="12" t="s">
        <v>276</v>
      </c>
      <c r="I41" s="12" t="s">
        <v>277</v>
      </c>
      <c r="J41" s="12" t="s">
        <v>278</v>
      </c>
      <c r="K41" s="12" t="s">
        <v>279</v>
      </c>
      <c r="L41" s="12" t="s">
        <v>280</v>
      </c>
      <c r="M41" s="12"/>
      <c r="N41" s="11" t="s">
        <v>10</v>
      </c>
      <c r="O41" s="12"/>
      <c r="P41" s="11"/>
      <c r="Q41" s="12"/>
    </row>
    <row r="42" customFormat="false" ht="23.85" hidden="false" customHeight="false" outlineLevel="0" collapsed="false">
      <c r="A42" s="11" t="s">
        <v>281</v>
      </c>
      <c r="B42" s="11" t="s">
        <v>19</v>
      </c>
      <c r="C42" s="12" t="s">
        <v>110</v>
      </c>
      <c r="D42" s="12" t="s">
        <v>251</v>
      </c>
      <c r="E42" s="12" t="s">
        <v>282</v>
      </c>
      <c r="F42" s="11" t="s">
        <v>4</v>
      </c>
      <c r="G42" s="11" t="s">
        <v>269</v>
      </c>
      <c r="H42" s="12" t="s">
        <v>283</v>
      </c>
      <c r="I42" s="12" t="s">
        <v>284</v>
      </c>
      <c r="J42" s="12" t="s">
        <v>135</v>
      </c>
      <c r="K42" s="12" t="s">
        <v>285</v>
      </c>
      <c r="L42" s="12" t="s">
        <v>90</v>
      </c>
      <c r="M42" s="12"/>
      <c r="N42" s="11" t="s">
        <v>10</v>
      </c>
      <c r="O42" s="12"/>
      <c r="P42" s="11"/>
      <c r="Q42" s="12"/>
    </row>
    <row r="43" customFormat="false" ht="23.85" hidden="false" customHeight="false" outlineLevel="0" collapsed="false">
      <c r="A43" s="11" t="s">
        <v>286</v>
      </c>
      <c r="B43" s="11" t="s">
        <v>19</v>
      </c>
      <c r="C43" s="12" t="s">
        <v>110</v>
      </c>
      <c r="D43" s="12" t="s">
        <v>251</v>
      </c>
      <c r="E43" s="12" t="s">
        <v>287</v>
      </c>
      <c r="F43" s="11" t="s">
        <v>5</v>
      </c>
      <c r="G43" s="11" t="s">
        <v>80</v>
      </c>
      <c r="H43" s="12" t="s">
        <v>288</v>
      </c>
      <c r="I43" s="12" t="s">
        <v>289</v>
      </c>
      <c r="J43" s="12" t="s">
        <v>135</v>
      </c>
      <c r="K43" s="12" t="s">
        <v>290</v>
      </c>
      <c r="L43" s="12" t="s">
        <v>280</v>
      </c>
      <c r="M43" s="12"/>
      <c r="N43" s="11" t="s">
        <v>10</v>
      </c>
      <c r="O43" s="12"/>
      <c r="P43" s="11"/>
      <c r="Q43" s="12"/>
    </row>
    <row r="44" customFormat="false" ht="23.85" hidden="false" customHeight="false" outlineLevel="0" collapsed="false">
      <c r="A44" s="11" t="s">
        <v>291</v>
      </c>
      <c r="B44" s="11" t="s">
        <v>21</v>
      </c>
      <c r="C44" s="12" t="s">
        <v>292</v>
      </c>
      <c r="D44" s="12" t="s">
        <v>293</v>
      </c>
      <c r="E44" s="12" t="s">
        <v>294</v>
      </c>
      <c r="F44" s="11" t="s">
        <v>3</v>
      </c>
      <c r="G44" s="11" t="s">
        <v>54</v>
      </c>
      <c r="H44" s="12" t="s">
        <v>295</v>
      </c>
      <c r="I44" s="12" t="s">
        <v>296</v>
      </c>
      <c r="J44" s="12" t="s">
        <v>135</v>
      </c>
      <c r="K44" s="12" t="s">
        <v>297</v>
      </c>
      <c r="L44" s="12" t="s">
        <v>90</v>
      </c>
      <c r="M44" s="12"/>
      <c r="N44" s="11" t="s">
        <v>10</v>
      </c>
      <c r="O44" s="12"/>
      <c r="P44" s="11"/>
      <c r="Q44" s="12"/>
    </row>
    <row r="45" customFormat="false" ht="23.85" hidden="false" customHeight="false" outlineLevel="0" collapsed="false">
      <c r="A45" s="11" t="s">
        <v>298</v>
      </c>
      <c r="B45" s="11" t="s">
        <v>21</v>
      </c>
      <c r="C45" s="12" t="s">
        <v>292</v>
      </c>
      <c r="D45" s="12" t="s">
        <v>293</v>
      </c>
      <c r="E45" s="12" t="s">
        <v>299</v>
      </c>
      <c r="F45" s="11" t="s">
        <v>3</v>
      </c>
      <c r="G45" s="11" t="s">
        <v>54</v>
      </c>
      <c r="H45" s="12" t="s">
        <v>300</v>
      </c>
      <c r="I45" s="12" t="s">
        <v>301</v>
      </c>
      <c r="J45" s="12" t="s">
        <v>135</v>
      </c>
      <c r="K45" s="12" t="s">
        <v>302</v>
      </c>
      <c r="L45" s="12" t="s">
        <v>72</v>
      </c>
      <c r="M45" s="12"/>
      <c r="N45" s="11" t="s">
        <v>10</v>
      </c>
      <c r="O45" s="12"/>
      <c r="P45" s="11"/>
      <c r="Q45" s="12"/>
    </row>
    <row r="46" customFormat="false" ht="35.05" hidden="false" customHeight="false" outlineLevel="0" collapsed="false">
      <c r="A46" s="11" t="s">
        <v>303</v>
      </c>
      <c r="B46" s="11" t="s">
        <v>21</v>
      </c>
      <c r="C46" s="12" t="s">
        <v>292</v>
      </c>
      <c r="D46" s="12" t="s">
        <v>293</v>
      </c>
      <c r="E46" s="12" t="s">
        <v>304</v>
      </c>
      <c r="F46" s="11" t="s">
        <v>3</v>
      </c>
      <c r="G46" s="11" t="s">
        <v>54</v>
      </c>
      <c r="H46" s="12" t="s">
        <v>305</v>
      </c>
      <c r="I46" s="12" t="s">
        <v>306</v>
      </c>
      <c r="J46" s="12" t="s">
        <v>307</v>
      </c>
      <c r="K46" s="12" t="s">
        <v>308</v>
      </c>
      <c r="L46" s="12" t="s">
        <v>130</v>
      </c>
      <c r="M46" s="12"/>
      <c r="N46" s="11" t="s">
        <v>10</v>
      </c>
      <c r="O46" s="12"/>
      <c r="P46" s="11"/>
      <c r="Q46" s="12"/>
    </row>
    <row r="47" customFormat="false" ht="23.85" hidden="false" customHeight="false" outlineLevel="0" collapsed="false">
      <c r="A47" s="11" t="s">
        <v>309</v>
      </c>
      <c r="B47" s="11" t="s">
        <v>21</v>
      </c>
      <c r="C47" s="12" t="s">
        <v>292</v>
      </c>
      <c r="D47" s="12" t="s">
        <v>293</v>
      </c>
      <c r="E47" s="12" t="s">
        <v>310</v>
      </c>
      <c r="F47" s="11" t="s">
        <v>3</v>
      </c>
      <c r="G47" s="11" t="s">
        <v>80</v>
      </c>
      <c r="H47" s="12" t="s">
        <v>311</v>
      </c>
      <c r="I47" s="12" t="s">
        <v>312</v>
      </c>
      <c r="J47" s="12" t="s">
        <v>135</v>
      </c>
      <c r="K47" s="12" t="s">
        <v>313</v>
      </c>
      <c r="L47" s="12" t="s">
        <v>130</v>
      </c>
      <c r="M47" s="12"/>
      <c r="N47" s="11" t="s">
        <v>10</v>
      </c>
      <c r="O47" s="12"/>
      <c r="P47" s="11"/>
      <c r="Q47" s="12"/>
    </row>
    <row r="48" customFormat="false" ht="23.85" hidden="false" customHeight="false" outlineLevel="0" collapsed="false">
      <c r="A48" s="11" t="s">
        <v>314</v>
      </c>
      <c r="B48" s="11" t="s">
        <v>21</v>
      </c>
      <c r="C48" s="12" t="s">
        <v>292</v>
      </c>
      <c r="D48" s="12" t="s">
        <v>293</v>
      </c>
      <c r="E48" s="12" t="s">
        <v>315</v>
      </c>
      <c r="F48" s="11" t="s">
        <v>4</v>
      </c>
      <c r="G48" s="11" t="s">
        <v>54</v>
      </c>
      <c r="H48" s="12" t="s">
        <v>316</v>
      </c>
      <c r="I48" s="12" t="s">
        <v>317</v>
      </c>
      <c r="J48" s="12" t="s">
        <v>318</v>
      </c>
      <c r="K48" s="12" t="s">
        <v>319</v>
      </c>
      <c r="L48" s="12" t="s">
        <v>280</v>
      </c>
      <c r="M48" s="12"/>
      <c r="N48" s="11" t="s">
        <v>10</v>
      </c>
      <c r="O48" s="12"/>
      <c r="P48" s="11"/>
      <c r="Q48" s="12"/>
    </row>
    <row r="49" customFormat="false" ht="23.85" hidden="false" customHeight="false" outlineLevel="0" collapsed="false">
      <c r="A49" s="11" t="s">
        <v>320</v>
      </c>
      <c r="B49" s="11" t="s">
        <v>21</v>
      </c>
      <c r="C49" s="12" t="s">
        <v>292</v>
      </c>
      <c r="D49" s="12" t="s">
        <v>293</v>
      </c>
      <c r="E49" s="12" t="s">
        <v>321</v>
      </c>
      <c r="F49" s="11" t="s">
        <v>4</v>
      </c>
      <c r="G49" s="11" t="s">
        <v>80</v>
      </c>
      <c r="H49" s="12" t="s">
        <v>322</v>
      </c>
      <c r="I49" s="12" t="s">
        <v>323</v>
      </c>
      <c r="J49" s="12" t="s">
        <v>324</v>
      </c>
      <c r="K49" s="12" t="s">
        <v>325</v>
      </c>
      <c r="L49" s="12" t="s">
        <v>280</v>
      </c>
      <c r="M49" s="12"/>
      <c r="N49" s="11" t="s">
        <v>10</v>
      </c>
      <c r="O49" s="12"/>
      <c r="P49" s="11"/>
      <c r="Q49" s="12"/>
    </row>
    <row r="50" customFormat="false" ht="35.05" hidden="false" customHeight="false" outlineLevel="0" collapsed="false">
      <c r="A50" s="11" t="s">
        <v>326</v>
      </c>
      <c r="B50" s="11" t="s">
        <v>21</v>
      </c>
      <c r="C50" s="12" t="s">
        <v>292</v>
      </c>
      <c r="D50" s="12" t="s">
        <v>293</v>
      </c>
      <c r="E50" s="12" t="s">
        <v>327</v>
      </c>
      <c r="F50" s="11" t="s">
        <v>5</v>
      </c>
      <c r="G50" s="11" t="s">
        <v>80</v>
      </c>
      <c r="H50" s="12" t="s">
        <v>328</v>
      </c>
      <c r="I50" s="12" t="s">
        <v>329</v>
      </c>
      <c r="J50" s="12" t="s">
        <v>135</v>
      </c>
      <c r="K50" s="12" t="s">
        <v>330</v>
      </c>
      <c r="L50" s="12" t="s">
        <v>280</v>
      </c>
      <c r="M50" s="12"/>
      <c r="N50" s="11" t="s">
        <v>10</v>
      </c>
      <c r="O50" s="12"/>
      <c r="P50" s="11"/>
      <c r="Q50" s="12"/>
    </row>
    <row r="51" customFormat="false" ht="23.85" hidden="false" customHeight="false" outlineLevel="0" collapsed="false">
      <c r="A51" s="11" t="s">
        <v>331</v>
      </c>
      <c r="B51" s="11" t="s">
        <v>23</v>
      </c>
      <c r="C51" s="12" t="s">
        <v>292</v>
      </c>
      <c r="D51" s="12" t="s">
        <v>332</v>
      </c>
      <c r="E51" s="12" t="s">
        <v>333</v>
      </c>
      <c r="F51" s="11" t="s">
        <v>3</v>
      </c>
      <c r="G51" s="11" t="s">
        <v>54</v>
      </c>
      <c r="H51" s="12" t="s">
        <v>334</v>
      </c>
      <c r="I51" s="12" t="s">
        <v>335</v>
      </c>
      <c r="J51" s="12" t="s">
        <v>135</v>
      </c>
      <c r="K51" s="12" t="s">
        <v>336</v>
      </c>
      <c r="L51" s="12" t="s">
        <v>90</v>
      </c>
      <c r="M51" s="12"/>
      <c r="N51" s="11" t="s">
        <v>10</v>
      </c>
      <c r="O51" s="12"/>
      <c r="P51" s="11"/>
      <c r="Q51" s="12"/>
    </row>
    <row r="52" customFormat="false" ht="23.85" hidden="false" customHeight="false" outlineLevel="0" collapsed="false">
      <c r="A52" s="11" t="s">
        <v>337</v>
      </c>
      <c r="B52" s="11" t="s">
        <v>23</v>
      </c>
      <c r="C52" s="12" t="s">
        <v>292</v>
      </c>
      <c r="D52" s="12" t="s">
        <v>332</v>
      </c>
      <c r="E52" s="12" t="s">
        <v>338</v>
      </c>
      <c r="F52" s="11" t="s">
        <v>3</v>
      </c>
      <c r="G52" s="11" t="s">
        <v>54</v>
      </c>
      <c r="H52" s="12" t="s">
        <v>339</v>
      </c>
      <c r="I52" s="12" t="s">
        <v>340</v>
      </c>
      <c r="J52" s="12" t="s">
        <v>135</v>
      </c>
      <c r="K52" s="12" t="s">
        <v>341</v>
      </c>
      <c r="L52" s="12" t="s">
        <v>72</v>
      </c>
      <c r="M52" s="12"/>
      <c r="N52" s="11" t="s">
        <v>10</v>
      </c>
      <c r="O52" s="12"/>
      <c r="P52" s="11"/>
      <c r="Q52" s="12"/>
    </row>
    <row r="53" customFormat="false" ht="23.85" hidden="false" customHeight="false" outlineLevel="0" collapsed="false">
      <c r="A53" s="11" t="s">
        <v>342</v>
      </c>
      <c r="B53" s="11" t="s">
        <v>23</v>
      </c>
      <c r="C53" s="12" t="s">
        <v>292</v>
      </c>
      <c r="D53" s="12" t="s">
        <v>332</v>
      </c>
      <c r="E53" s="12" t="s">
        <v>343</v>
      </c>
      <c r="F53" s="11" t="s">
        <v>3</v>
      </c>
      <c r="G53" s="11" t="s">
        <v>54</v>
      </c>
      <c r="H53" s="12" t="s">
        <v>344</v>
      </c>
      <c r="I53" s="12" t="s">
        <v>340</v>
      </c>
      <c r="J53" s="12" t="s">
        <v>135</v>
      </c>
      <c r="K53" s="12" t="s">
        <v>345</v>
      </c>
      <c r="L53" s="12" t="s">
        <v>130</v>
      </c>
      <c r="M53" s="12"/>
      <c r="N53" s="11" t="s">
        <v>10</v>
      </c>
      <c r="O53" s="12"/>
      <c r="P53" s="11"/>
      <c r="Q53" s="12"/>
    </row>
    <row r="54" customFormat="false" ht="23.85" hidden="false" customHeight="false" outlineLevel="0" collapsed="false">
      <c r="A54" s="11" t="s">
        <v>346</v>
      </c>
      <c r="B54" s="11" t="s">
        <v>23</v>
      </c>
      <c r="C54" s="12" t="s">
        <v>292</v>
      </c>
      <c r="D54" s="12" t="s">
        <v>332</v>
      </c>
      <c r="E54" s="12" t="s">
        <v>347</v>
      </c>
      <c r="F54" s="11" t="s">
        <v>3</v>
      </c>
      <c r="G54" s="11" t="s">
        <v>54</v>
      </c>
      <c r="H54" s="12" t="s">
        <v>348</v>
      </c>
      <c r="I54" s="12" t="s">
        <v>349</v>
      </c>
      <c r="J54" s="12" t="s">
        <v>135</v>
      </c>
      <c r="K54" s="12" t="s">
        <v>350</v>
      </c>
      <c r="L54" s="12" t="s">
        <v>351</v>
      </c>
      <c r="M54" s="12"/>
      <c r="N54" s="11" t="s">
        <v>10</v>
      </c>
      <c r="O54" s="12"/>
      <c r="P54" s="11"/>
      <c r="Q54" s="12"/>
    </row>
    <row r="55" customFormat="false" ht="23.85" hidden="false" customHeight="false" outlineLevel="0" collapsed="false">
      <c r="A55" s="11" t="s">
        <v>352</v>
      </c>
      <c r="B55" s="11" t="s">
        <v>23</v>
      </c>
      <c r="C55" s="12" t="s">
        <v>292</v>
      </c>
      <c r="D55" s="12" t="s">
        <v>332</v>
      </c>
      <c r="E55" s="12" t="s">
        <v>353</v>
      </c>
      <c r="F55" s="11" t="s">
        <v>3</v>
      </c>
      <c r="G55" s="11" t="s">
        <v>80</v>
      </c>
      <c r="H55" s="12" t="s">
        <v>354</v>
      </c>
      <c r="I55" s="12" t="s">
        <v>340</v>
      </c>
      <c r="J55" s="12" t="s">
        <v>135</v>
      </c>
      <c r="K55" s="12" t="s">
        <v>355</v>
      </c>
      <c r="L55" s="12" t="s">
        <v>356</v>
      </c>
      <c r="M55" s="12"/>
      <c r="N55" s="11" t="s">
        <v>10</v>
      </c>
      <c r="O55" s="12"/>
      <c r="P55" s="11"/>
      <c r="Q55" s="12"/>
    </row>
    <row r="56" customFormat="false" ht="23.85" hidden="false" customHeight="false" outlineLevel="0" collapsed="false">
      <c r="A56" s="11" t="s">
        <v>357</v>
      </c>
      <c r="B56" s="11" t="s">
        <v>23</v>
      </c>
      <c r="C56" s="12" t="s">
        <v>292</v>
      </c>
      <c r="D56" s="12" t="s">
        <v>332</v>
      </c>
      <c r="E56" s="12" t="s">
        <v>358</v>
      </c>
      <c r="F56" s="11" t="s">
        <v>4</v>
      </c>
      <c r="G56" s="11" t="s">
        <v>80</v>
      </c>
      <c r="H56" s="12" t="s">
        <v>359</v>
      </c>
      <c r="I56" s="12" t="s">
        <v>340</v>
      </c>
      <c r="J56" s="12" t="s">
        <v>135</v>
      </c>
      <c r="K56" s="12" t="s">
        <v>360</v>
      </c>
      <c r="L56" s="12" t="s">
        <v>361</v>
      </c>
      <c r="M56" s="12"/>
      <c r="N56" s="11" t="s">
        <v>10</v>
      </c>
      <c r="O56" s="12"/>
      <c r="P56" s="11"/>
      <c r="Q56" s="12"/>
    </row>
    <row r="57" customFormat="false" ht="23.85" hidden="false" customHeight="false" outlineLevel="0" collapsed="false">
      <c r="A57" s="11" t="s">
        <v>362</v>
      </c>
      <c r="B57" s="11" t="s">
        <v>23</v>
      </c>
      <c r="C57" s="12" t="s">
        <v>292</v>
      </c>
      <c r="D57" s="12" t="s">
        <v>332</v>
      </c>
      <c r="E57" s="12" t="s">
        <v>363</v>
      </c>
      <c r="F57" s="11" t="s">
        <v>4</v>
      </c>
      <c r="G57" s="11" t="s">
        <v>54</v>
      </c>
      <c r="H57" s="12" t="s">
        <v>364</v>
      </c>
      <c r="I57" s="12" t="s">
        <v>365</v>
      </c>
      <c r="J57" s="12" t="s">
        <v>135</v>
      </c>
      <c r="K57" s="12" t="s">
        <v>366</v>
      </c>
      <c r="L57" s="12" t="s">
        <v>280</v>
      </c>
      <c r="M57" s="12"/>
      <c r="N57" s="11" t="s">
        <v>10</v>
      </c>
      <c r="O57" s="12"/>
      <c r="P57" s="11"/>
      <c r="Q57" s="12"/>
    </row>
    <row r="58" customFormat="false" ht="23.85" hidden="false" customHeight="false" outlineLevel="0" collapsed="false">
      <c r="A58" s="11" t="s">
        <v>367</v>
      </c>
      <c r="B58" s="11" t="s">
        <v>23</v>
      </c>
      <c r="C58" s="12" t="s">
        <v>292</v>
      </c>
      <c r="D58" s="12" t="s">
        <v>332</v>
      </c>
      <c r="E58" s="12" t="s">
        <v>368</v>
      </c>
      <c r="F58" s="11" t="s">
        <v>5</v>
      </c>
      <c r="G58" s="11" t="s">
        <v>80</v>
      </c>
      <c r="H58" s="12" t="s">
        <v>369</v>
      </c>
      <c r="I58" s="12" t="s">
        <v>340</v>
      </c>
      <c r="J58" s="12" t="s">
        <v>135</v>
      </c>
      <c r="K58" s="12" t="s">
        <v>370</v>
      </c>
      <c r="L58" s="12" t="s">
        <v>280</v>
      </c>
      <c r="M58" s="12"/>
      <c r="N58" s="11" t="s">
        <v>10</v>
      </c>
      <c r="O58" s="12"/>
      <c r="P58" s="11"/>
      <c r="Q58" s="12"/>
    </row>
    <row r="59" customFormat="false" ht="23.85" hidden="false" customHeight="false" outlineLevel="0" collapsed="false">
      <c r="A59" s="11" t="s">
        <v>371</v>
      </c>
      <c r="B59" s="11" t="s">
        <v>25</v>
      </c>
      <c r="C59" s="12" t="s">
        <v>292</v>
      </c>
      <c r="D59" s="12" t="s">
        <v>372</v>
      </c>
      <c r="E59" s="12" t="s">
        <v>373</v>
      </c>
      <c r="F59" s="11" t="s">
        <v>3</v>
      </c>
      <c r="G59" s="11" t="s">
        <v>54</v>
      </c>
      <c r="H59" s="12" t="s">
        <v>374</v>
      </c>
      <c r="I59" s="12" t="s">
        <v>375</v>
      </c>
      <c r="J59" s="12" t="s">
        <v>135</v>
      </c>
      <c r="K59" s="12" t="s">
        <v>376</v>
      </c>
      <c r="L59" s="12" t="s">
        <v>90</v>
      </c>
      <c r="M59" s="12"/>
      <c r="N59" s="11" t="s">
        <v>10</v>
      </c>
      <c r="O59" s="12"/>
      <c r="P59" s="11"/>
      <c r="Q59" s="12"/>
    </row>
    <row r="60" customFormat="false" ht="23.85" hidden="false" customHeight="false" outlineLevel="0" collapsed="false">
      <c r="A60" s="11" t="s">
        <v>377</v>
      </c>
      <c r="B60" s="11" t="s">
        <v>25</v>
      </c>
      <c r="C60" s="12" t="s">
        <v>292</v>
      </c>
      <c r="D60" s="12" t="s">
        <v>372</v>
      </c>
      <c r="E60" s="12" t="s">
        <v>378</v>
      </c>
      <c r="F60" s="11" t="s">
        <v>3</v>
      </c>
      <c r="G60" s="11" t="s">
        <v>80</v>
      </c>
      <c r="H60" s="12" t="s">
        <v>379</v>
      </c>
      <c r="I60" s="12" t="s">
        <v>380</v>
      </c>
      <c r="J60" s="12" t="s">
        <v>135</v>
      </c>
      <c r="K60" s="12" t="s">
        <v>381</v>
      </c>
      <c r="L60" s="12" t="s">
        <v>90</v>
      </c>
      <c r="M60" s="12"/>
      <c r="N60" s="11" t="s">
        <v>10</v>
      </c>
      <c r="O60" s="12"/>
      <c r="P60" s="11"/>
      <c r="Q60" s="12"/>
    </row>
    <row r="61" customFormat="false" ht="23.85" hidden="false" customHeight="false" outlineLevel="0" collapsed="false">
      <c r="A61" s="11" t="s">
        <v>382</v>
      </c>
      <c r="B61" s="11" t="s">
        <v>25</v>
      </c>
      <c r="C61" s="12" t="s">
        <v>292</v>
      </c>
      <c r="D61" s="12" t="s">
        <v>372</v>
      </c>
      <c r="E61" s="12" t="s">
        <v>383</v>
      </c>
      <c r="F61" s="11" t="s">
        <v>3</v>
      </c>
      <c r="G61" s="11" t="s">
        <v>54</v>
      </c>
      <c r="H61" s="12" t="s">
        <v>384</v>
      </c>
      <c r="I61" s="12" t="s">
        <v>385</v>
      </c>
      <c r="J61" s="12" t="s">
        <v>386</v>
      </c>
      <c r="K61" s="12" t="s">
        <v>387</v>
      </c>
      <c r="L61" s="12" t="s">
        <v>72</v>
      </c>
      <c r="M61" s="12"/>
      <c r="N61" s="11" t="s">
        <v>10</v>
      </c>
      <c r="O61" s="12"/>
      <c r="P61" s="11"/>
      <c r="Q61" s="12"/>
    </row>
    <row r="62" customFormat="false" ht="23.85" hidden="false" customHeight="false" outlineLevel="0" collapsed="false">
      <c r="A62" s="11" t="s">
        <v>388</v>
      </c>
      <c r="B62" s="11" t="s">
        <v>25</v>
      </c>
      <c r="C62" s="12" t="s">
        <v>292</v>
      </c>
      <c r="D62" s="12" t="s">
        <v>372</v>
      </c>
      <c r="E62" s="12" t="s">
        <v>389</v>
      </c>
      <c r="F62" s="11" t="s">
        <v>3</v>
      </c>
      <c r="G62" s="11" t="s">
        <v>54</v>
      </c>
      <c r="H62" s="12" t="s">
        <v>390</v>
      </c>
      <c r="I62" s="12" t="s">
        <v>391</v>
      </c>
      <c r="J62" s="12" t="s">
        <v>135</v>
      </c>
      <c r="K62" s="12" t="s">
        <v>392</v>
      </c>
      <c r="L62" s="12" t="s">
        <v>130</v>
      </c>
      <c r="M62" s="12"/>
      <c r="N62" s="11" t="s">
        <v>10</v>
      </c>
      <c r="O62" s="12"/>
      <c r="P62" s="11"/>
      <c r="Q62" s="12"/>
    </row>
    <row r="63" customFormat="false" ht="23.85" hidden="false" customHeight="false" outlineLevel="0" collapsed="false">
      <c r="A63" s="11" t="s">
        <v>393</v>
      </c>
      <c r="B63" s="11" t="s">
        <v>25</v>
      </c>
      <c r="C63" s="12" t="s">
        <v>292</v>
      </c>
      <c r="D63" s="12" t="s">
        <v>372</v>
      </c>
      <c r="E63" s="12" t="s">
        <v>394</v>
      </c>
      <c r="F63" s="11" t="s">
        <v>3</v>
      </c>
      <c r="G63" s="11" t="s">
        <v>54</v>
      </c>
      <c r="H63" s="12" t="s">
        <v>395</v>
      </c>
      <c r="I63" s="12" t="s">
        <v>396</v>
      </c>
      <c r="J63" s="12" t="s">
        <v>135</v>
      </c>
      <c r="K63" s="12" t="s">
        <v>397</v>
      </c>
      <c r="L63" s="12" t="s">
        <v>351</v>
      </c>
      <c r="M63" s="12"/>
      <c r="N63" s="11" t="s">
        <v>10</v>
      </c>
      <c r="O63" s="12"/>
      <c r="P63" s="11"/>
      <c r="Q63" s="12"/>
    </row>
    <row r="64" customFormat="false" ht="23.85" hidden="false" customHeight="false" outlineLevel="0" collapsed="false">
      <c r="A64" s="11" t="s">
        <v>398</v>
      </c>
      <c r="B64" s="11" t="s">
        <v>25</v>
      </c>
      <c r="C64" s="12" t="s">
        <v>292</v>
      </c>
      <c r="D64" s="12" t="s">
        <v>372</v>
      </c>
      <c r="E64" s="12" t="s">
        <v>399</v>
      </c>
      <c r="F64" s="11" t="s">
        <v>4</v>
      </c>
      <c r="G64" s="11" t="s">
        <v>54</v>
      </c>
      <c r="H64" s="12" t="s">
        <v>400</v>
      </c>
      <c r="I64" s="12" t="s">
        <v>401</v>
      </c>
      <c r="J64" s="12" t="s">
        <v>135</v>
      </c>
      <c r="K64" s="12" t="s">
        <v>402</v>
      </c>
      <c r="L64" s="12" t="s">
        <v>2</v>
      </c>
      <c r="M64" s="12"/>
      <c r="N64" s="11" t="s">
        <v>10</v>
      </c>
      <c r="O64" s="12"/>
      <c r="P64" s="11"/>
      <c r="Q64" s="12"/>
    </row>
    <row r="65" customFormat="false" ht="23.85" hidden="false" customHeight="false" outlineLevel="0" collapsed="false">
      <c r="A65" s="11" t="s">
        <v>403</v>
      </c>
      <c r="B65" s="11" t="s">
        <v>25</v>
      </c>
      <c r="C65" s="12" t="s">
        <v>292</v>
      </c>
      <c r="D65" s="12" t="s">
        <v>372</v>
      </c>
      <c r="E65" s="12" t="s">
        <v>404</v>
      </c>
      <c r="F65" s="11" t="s">
        <v>4</v>
      </c>
      <c r="G65" s="11" t="s">
        <v>54</v>
      </c>
      <c r="H65" s="12" t="s">
        <v>405</v>
      </c>
      <c r="I65" s="12" t="s">
        <v>406</v>
      </c>
      <c r="J65" s="12" t="s">
        <v>407</v>
      </c>
      <c r="K65" s="12" t="s">
        <v>408</v>
      </c>
      <c r="L65" s="12" t="s">
        <v>72</v>
      </c>
      <c r="M65" s="12"/>
      <c r="N65" s="11" t="s">
        <v>10</v>
      </c>
      <c r="O65" s="12"/>
      <c r="P65" s="11"/>
      <c r="Q65" s="12"/>
    </row>
    <row r="66" customFormat="false" ht="23.85" hidden="false" customHeight="false" outlineLevel="0" collapsed="false">
      <c r="A66" s="11" t="s">
        <v>409</v>
      </c>
      <c r="B66" s="11" t="s">
        <v>25</v>
      </c>
      <c r="C66" s="12" t="s">
        <v>292</v>
      </c>
      <c r="D66" s="12" t="s">
        <v>372</v>
      </c>
      <c r="E66" s="12" t="s">
        <v>410</v>
      </c>
      <c r="F66" s="11" t="s">
        <v>4</v>
      </c>
      <c r="G66" s="11" t="s">
        <v>269</v>
      </c>
      <c r="H66" s="12" t="s">
        <v>411</v>
      </c>
      <c r="I66" s="12" t="s">
        <v>412</v>
      </c>
      <c r="J66" s="12" t="s">
        <v>135</v>
      </c>
      <c r="K66" s="12" t="s">
        <v>413</v>
      </c>
      <c r="L66" s="12" t="s">
        <v>72</v>
      </c>
      <c r="M66" s="12"/>
      <c r="N66" s="11" t="s">
        <v>10</v>
      </c>
      <c r="O66" s="12"/>
      <c r="P66" s="11"/>
      <c r="Q66" s="12"/>
    </row>
    <row r="67" customFormat="false" ht="35.05" hidden="false" customHeight="false" outlineLevel="0" collapsed="false">
      <c r="A67" s="11" t="s">
        <v>414</v>
      </c>
      <c r="B67" s="11" t="s">
        <v>25</v>
      </c>
      <c r="C67" s="12" t="s">
        <v>292</v>
      </c>
      <c r="D67" s="12" t="s">
        <v>372</v>
      </c>
      <c r="E67" s="12" t="s">
        <v>415</v>
      </c>
      <c r="F67" s="11" t="s">
        <v>5</v>
      </c>
      <c r="G67" s="11" t="s">
        <v>80</v>
      </c>
      <c r="H67" s="12" t="s">
        <v>405</v>
      </c>
      <c r="I67" s="12" t="s">
        <v>416</v>
      </c>
      <c r="J67" s="12" t="s">
        <v>135</v>
      </c>
      <c r="K67" s="12" t="s">
        <v>417</v>
      </c>
      <c r="L67" s="12" t="s">
        <v>351</v>
      </c>
      <c r="M67" s="12"/>
      <c r="N67" s="11" t="s">
        <v>10</v>
      </c>
      <c r="O67" s="12"/>
      <c r="P67" s="11"/>
      <c r="Q67" s="12"/>
    </row>
    <row r="68" customFormat="false" ht="23.85" hidden="false" customHeight="false" outlineLevel="0" collapsed="false">
      <c r="A68" s="11" t="s">
        <v>418</v>
      </c>
      <c r="B68" s="11" t="s">
        <v>25</v>
      </c>
      <c r="C68" s="12" t="s">
        <v>292</v>
      </c>
      <c r="D68" s="12" t="s">
        <v>372</v>
      </c>
      <c r="E68" s="12" t="s">
        <v>419</v>
      </c>
      <c r="F68" s="11" t="s">
        <v>5</v>
      </c>
      <c r="G68" s="11" t="s">
        <v>80</v>
      </c>
      <c r="H68" s="12" t="s">
        <v>420</v>
      </c>
      <c r="I68" s="12" t="s">
        <v>421</v>
      </c>
      <c r="J68" s="12" t="s">
        <v>135</v>
      </c>
      <c r="K68" s="12" t="s">
        <v>422</v>
      </c>
      <c r="L68" s="12" t="s">
        <v>351</v>
      </c>
      <c r="M68" s="12"/>
      <c r="N68" s="11" t="s">
        <v>10</v>
      </c>
      <c r="O68" s="12"/>
      <c r="P68" s="11"/>
      <c r="Q68" s="12"/>
    </row>
    <row r="69" customFormat="false" ht="35.05" hidden="false" customHeight="false" outlineLevel="0" collapsed="false">
      <c r="A69" s="11" t="s">
        <v>423</v>
      </c>
      <c r="B69" s="11" t="s">
        <v>27</v>
      </c>
      <c r="C69" s="12" t="s">
        <v>292</v>
      </c>
      <c r="D69" s="12" t="s">
        <v>424</v>
      </c>
      <c r="E69" s="12" t="s">
        <v>425</v>
      </c>
      <c r="F69" s="11" t="s">
        <v>3</v>
      </c>
      <c r="G69" s="11" t="s">
        <v>54</v>
      </c>
      <c r="H69" s="12" t="s">
        <v>426</v>
      </c>
      <c r="I69" s="12" t="s">
        <v>427</v>
      </c>
      <c r="J69" s="12" t="s">
        <v>135</v>
      </c>
      <c r="K69" s="12" t="s">
        <v>428</v>
      </c>
      <c r="L69" s="12" t="s">
        <v>90</v>
      </c>
      <c r="M69" s="12"/>
      <c r="N69" s="11" t="s">
        <v>10</v>
      </c>
      <c r="O69" s="12"/>
      <c r="P69" s="11"/>
      <c r="Q69" s="12"/>
    </row>
    <row r="70" customFormat="false" ht="23.85" hidden="false" customHeight="false" outlineLevel="0" collapsed="false">
      <c r="A70" s="11" t="s">
        <v>429</v>
      </c>
      <c r="B70" s="11" t="s">
        <v>27</v>
      </c>
      <c r="C70" s="12" t="s">
        <v>292</v>
      </c>
      <c r="D70" s="12" t="s">
        <v>424</v>
      </c>
      <c r="E70" s="12" t="s">
        <v>430</v>
      </c>
      <c r="F70" s="11" t="s">
        <v>3</v>
      </c>
      <c r="G70" s="11" t="s">
        <v>54</v>
      </c>
      <c r="H70" s="12" t="s">
        <v>431</v>
      </c>
      <c r="I70" s="12" t="s">
        <v>432</v>
      </c>
      <c r="J70" s="12" t="s">
        <v>135</v>
      </c>
      <c r="K70" s="12" t="s">
        <v>433</v>
      </c>
      <c r="L70" s="12" t="s">
        <v>72</v>
      </c>
      <c r="M70" s="12"/>
      <c r="N70" s="11" t="s">
        <v>10</v>
      </c>
      <c r="O70" s="12"/>
      <c r="P70" s="11"/>
      <c r="Q70" s="12"/>
    </row>
    <row r="71" customFormat="false" ht="23.85" hidden="false" customHeight="false" outlineLevel="0" collapsed="false">
      <c r="A71" s="11" t="s">
        <v>434</v>
      </c>
      <c r="B71" s="11" t="s">
        <v>27</v>
      </c>
      <c r="C71" s="12" t="s">
        <v>292</v>
      </c>
      <c r="D71" s="12" t="s">
        <v>424</v>
      </c>
      <c r="E71" s="12" t="s">
        <v>435</v>
      </c>
      <c r="F71" s="11" t="s">
        <v>3</v>
      </c>
      <c r="G71" s="11" t="s">
        <v>54</v>
      </c>
      <c r="H71" s="12" t="s">
        <v>436</v>
      </c>
      <c r="I71" s="12" t="s">
        <v>437</v>
      </c>
      <c r="J71" s="12" t="s">
        <v>135</v>
      </c>
      <c r="K71" s="12" t="s">
        <v>438</v>
      </c>
      <c r="L71" s="12" t="s">
        <v>130</v>
      </c>
      <c r="M71" s="12"/>
      <c r="N71" s="11" t="s">
        <v>10</v>
      </c>
      <c r="O71" s="12"/>
      <c r="P71" s="11"/>
      <c r="Q71" s="12"/>
    </row>
    <row r="72" customFormat="false" ht="23.85" hidden="false" customHeight="false" outlineLevel="0" collapsed="false">
      <c r="A72" s="11" t="s">
        <v>439</v>
      </c>
      <c r="B72" s="11" t="s">
        <v>27</v>
      </c>
      <c r="C72" s="12" t="s">
        <v>292</v>
      </c>
      <c r="D72" s="12" t="s">
        <v>424</v>
      </c>
      <c r="E72" s="12" t="s">
        <v>440</v>
      </c>
      <c r="F72" s="11" t="s">
        <v>3</v>
      </c>
      <c r="G72" s="11" t="s">
        <v>54</v>
      </c>
      <c r="H72" s="12" t="s">
        <v>441</v>
      </c>
      <c r="I72" s="12" t="s">
        <v>442</v>
      </c>
      <c r="J72" s="12" t="s">
        <v>135</v>
      </c>
      <c r="K72" s="12" t="s">
        <v>443</v>
      </c>
      <c r="L72" s="12" t="s">
        <v>444</v>
      </c>
      <c r="M72" s="12"/>
      <c r="N72" s="11" t="s">
        <v>10</v>
      </c>
      <c r="O72" s="12"/>
      <c r="P72" s="11"/>
      <c r="Q72" s="12"/>
    </row>
    <row r="73" customFormat="false" ht="23.85" hidden="false" customHeight="false" outlineLevel="0" collapsed="false">
      <c r="A73" s="11" t="s">
        <v>445</v>
      </c>
      <c r="B73" s="11" t="s">
        <v>27</v>
      </c>
      <c r="C73" s="12" t="s">
        <v>292</v>
      </c>
      <c r="D73" s="12" t="s">
        <v>424</v>
      </c>
      <c r="E73" s="12" t="s">
        <v>446</v>
      </c>
      <c r="F73" s="11" t="s">
        <v>4</v>
      </c>
      <c r="G73" s="11" t="s">
        <v>54</v>
      </c>
      <c r="H73" s="12" t="s">
        <v>447</v>
      </c>
      <c r="I73" s="12" t="s">
        <v>448</v>
      </c>
      <c r="J73" s="12" t="s">
        <v>135</v>
      </c>
      <c r="K73" s="12" t="s">
        <v>449</v>
      </c>
      <c r="L73" s="12" t="s">
        <v>2</v>
      </c>
      <c r="M73" s="12"/>
      <c r="N73" s="11" t="s">
        <v>10</v>
      </c>
      <c r="O73" s="12"/>
      <c r="P73" s="11"/>
      <c r="Q73" s="12"/>
    </row>
    <row r="74" customFormat="false" ht="23.85" hidden="false" customHeight="false" outlineLevel="0" collapsed="false">
      <c r="A74" s="11" t="s">
        <v>450</v>
      </c>
      <c r="B74" s="11" t="s">
        <v>27</v>
      </c>
      <c r="C74" s="12" t="s">
        <v>292</v>
      </c>
      <c r="D74" s="12" t="s">
        <v>424</v>
      </c>
      <c r="E74" s="12" t="s">
        <v>451</v>
      </c>
      <c r="F74" s="11" t="s">
        <v>4</v>
      </c>
      <c r="G74" s="11" t="s">
        <v>54</v>
      </c>
      <c r="H74" s="12" t="s">
        <v>452</v>
      </c>
      <c r="I74" s="12" t="s">
        <v>453</v>
      </c>
      <c r="J74" s="12" t="s">
        <v>135</v>
      </c>
      <c r="K74" s="12" t="s">
        <v>454</v>
      </c>
      <c r="L74" s="12" t="s">
        <v>2</v>
      </c>
      <c r="M74" s="12"/>
      <c r="N74" s="11" t="s">
        <v>10</v>
      </c>
      <c r="O74" s="12"/>
      <c r="P74" s="11"/>
      <c r="Q74" s="12"/>
    </row>
    <row r="75" customFormat="false" ht="35.05" hidden="false" customHeight="false" outlineLevel="0" collapsed="false">
      <c r="A75" s="11" t="s">
        <v>455</v>
      </c>
      <c r="B75" s="11" t="s">
        <v>27</v>
      </c>
      <c r="C75" s="12" t="s">
        <v>292</v>
      </c>
      <c r="D75" s="12" t="s">
        <v>424</v>
      </c>
      <c r="E75" s="12" t="s">
        <v>456</v>
      </c>
      <c r="F75" s="11" t="s">
        <v>5</v>
      </c>
      <c r="G75" s="11" t="s">
        <v>80</v>
      </c>
      <c r="H75" s="12" t="s">
        <v>457</v>
      </c>
      <c r="I75" s="12" t="s">
        <v>458</v>
      </c>
      <c r="J75" s="12" t="s">
        <v>135</v>
      </c>
      <c r="K75" s="12" t="s">
        <v>459</v>
      </c>
      <c r="L75" s="12" t="s">
        <v>460</v>
      </c>
      <c r="M75" s="12"/>
      <c r="N75" s="11" t="s">
        <v>10</v>
      </c>
      <c r="O75" s="12"/>
      <c r="P75" s="11"/>
      <c r="Q75" s="12"/>
    </row>
  </sheetData>
  <autoFilter ref="A4:Q75"/>
  <conditionalFormatting sqref="N5:N75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  <cfRule type="cellIs" priority="4" operator="equal" aboveAverage="0" equalAverage="0" bottom="0" percent="0" rank="0" text="" dxfId="5">
      <formula>"Blocked"</formula>
    </cfRule>
  </conditionalFormatting>
  <dataValidations count="2">
    <dataValidation allowBlank="false" errorStyle="stop" operator="between" showDropDown="false" showErrorMessage="false" showInputMessage="false" sqref="N5:N75" type="list">
      <formula1>"Not Run,Pass,Fail,Blocked"</formula1>
      <formula2>0</formula2>
    </dataValidation>
    <dataValidation allowBlank="false" errorStyle="stop" operator="between" showDropDown="false" showErrorMessage="false" showInputMessage="false" sqref="F5:F75" type="list">
      <formula1>"Positive,Negative,Exception"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461</v>
      </c>
    </row>
    <row r="3" customFormat="false" ht="35.05" hidden="false" customHeight="false" outlineLevel="0" collapsed="false">
      <c r="A3" s="13" t="s">
        <v>462</v>
      </c>
      <c r="B3" s="14" t="s">
        <v>463</v>
      </c>
    </row>
    <row r="4" customFormat="false" ht="23.85" hidden="false" customHeight="false" outlineLevel="0" collapsed="false">
      <c r="A4" s="13" t="s">
        <v>464</v>
      </c>
      <c r="B4" s="14" t="s">
        <v>465</v>
      </c>
    </row>
    <row r="5" customFormat="false" ht="15" hidden="false" customHeight="false" outlineLevel="0" collapsed="false">
      <c r="A5" s="13" t="s">
        <v>466</v>
      </c>
      <c r="B5" s="14" t="s">
        <v>467</v>
      </c>
    </row>
    <row r="6" customFormat="false" ht="23.85" hidden="false" customHeight="false" outlineLevel="0" collapsed="false">
      <c r="A6" s="13" t="s">
        <v>468</v>
      </c>
      <c r="B6" s="14" t="s">
        <v>469</v>
      </c>
    </row>
    <row r="7" customFormat="false" ht="15" hidden="false" customHeight="false" outlineLevel="0" collapsed="false">
      <c r="A7" s="13" t="s">
        <v>470</v>
      </c>
      <c r="B7" s="14" t="s">
        <v>471</v>
      </c>
    </row>
    <row r="8" customFormat="false" ht="15" hidden="false" customHeight="false" outlineLevel="0" collapsed="false">
      <c r="A8" s="13" t="s">
        <v>472</v>
      </c>
      <c r="B8" s="14" t="s">
        <v>473</v>
      </c>
    </row>
    <row r="9" customFormat="false" ht="23.85" hidden="false" customHeight="false" outlineLevel="0" collapsed="false">
      <c r="A9" s="13" t="s">
        <v>474</v>
      </c>
      <c r="B9" s="14" t="s">
        <v>475</v>
      </c>
    </row>
    <row r="10" customFormat="false" ht="23.85" hidden="false" customHeight="false" outlineLevel="0" collapsed="false">
      <c r="A10" s="13" t="s">
        <v>476</v>
      </c>
      <c r="B10" s="14" t="s">
        <v>477</v>
      </c>
    </row>
    <row r="11" customFormat="false" ht="23.85" hidden="false" customHeight="false" outlineLevel="0" collapsed="false">
      <c r="A11" s="13" t="s">
        <v>478</v>
      </c>
      <c r="B11" s="14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2026-10-05T05:51:32Z</dcterms:created>
  <dc:creator>openpyxl</dc:creator>
  <dc:description/>
  <dc:language>en-US</dc:language>
  <cp:lastModifiedBy/>
  <dcterms:modified xsi:type="dcterms:W3CDTF">2026-10-05T05:51:32Z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