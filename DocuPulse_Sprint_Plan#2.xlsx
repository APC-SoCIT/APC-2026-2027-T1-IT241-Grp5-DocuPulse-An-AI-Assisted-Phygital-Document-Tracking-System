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jpeg" ContentType="image/jpe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in" sheetId="1" state="visible" r:id="rId3"/>
    <sheet name="Backlog" sheetId="2" state="visible" r:id="rId4"/>
    <sheet name="Tracker" sheetId="3" state="visible" r:id="rId5"/>
    <sheet name="Impediment" sheetId="4" state="visible" r:id="rId6"/>
    <sheet name="Retrospective" sheetId="5" state="visible" r:id="rId7"/>
    <sheet name="Summary" sheetId="6" state="visible" r:id="rId8"/>
    <sheet name="References" sheetId="7" state="visible" r:id="rId9"/>
  </sheets>
  <definedNames>
    <definedName function="false" hidden="false" localSheetId="1" name="_xlnm.Print_Area" vbProcedure="false">Backlog!$B$1:$S$34</definedName>
    <definedName function="false" hidden="true" localSheetId="1" name="_xlnm._FilterDatabase" vbProcedure="false">Backlog!$B$7:$R$7</definedName>
    <definedName function="false" hidden="false" localSheetId="3" name="_xlnm.Print_Area" vbProcedure="false">Impediment!$B$1:$L$10</definedName>
    <definedName function="false" hidden="true" localSheetId="3" name="_xlnm._FilterDatabase" vbProcedure="false">Impediment!$B$7:$L$7</definedName>
    <definedName function="false" hidden="false" localSheetId="0" name="_xlnm.Print_Area" vbProcedure="false">Main!$B$1:$O$30</definedName>
    <definedName function="false" hidden="false" localSheetId="6" name="_xlnm.Print_Area" vbProcedure="false">References!$B$1:$F$12</definedName>
    <definedName function="false" hidden="false" localSheetId="4" name="_xlnm.Print_Area" vbProcedure="false">Retrospective!$B$1:$H$10</definedName>
    <definedName function="false" hidden="true" localSheetId="4" name="_xlnm._FilterDatabase" vbProcedure="false">Retrospective!$B$7:$H$7</definedName>
    <definedName function="false" hidden="false" localSheetId="5" name="_xlnm.Print_Area" vbProcedure="false">Summary!$A$1:$U$53</definedName>
    <definedName function="false" hidden="false" localSheetId="2" name="_xlnm.Print_Area" vbProcedure="false">Tracker!$B$1:$T$41</definedName>
    <definedName function="false" hidden="true" localSheetId="2" name="_xlnm._FilterDatabase" vbProcedure="false">Tracker!$B$7:$S$7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<sst xmlns="http://schemas.openxmlformats.org/spreadsheetml/2006/main" count="580" uniqueCount="327">
  <si>
    <t xml:space="preserve">Scrum Project</t>
  </si>
  <si>
    <t xml:space="preserve">Product</t>
  </si>
  <si>
    <t xml:space="preserve">DocuPulse: An AI-Assisted Phygital Document Tracking System</t>
  </si>
  <si>
    <t xml:space="preserve">Product Status</t>
  </si>
  <si>
    <t xml:space="preserve">In Development</t>
  </si>
  <si>
    <t xml:space="preserve">Active versions</t>
  </si>
  <si>
    <t xml:space="preserve">v0.1 (Sprint Plan / Pre-release)</t>
  </si>
  <si>
    <t xml:space="preserve">Sponsor</t>
  </si>
  <si>
    <t xml:space="preserve">Asia Pacific College - School of Computing and Information Technologies</t>
  </si>
  <si>
    <t xml:space="preserve">Team</t>
  </si>
  <si>
    <t xml:space="preserve">Scrum Master</t>
  </si>
  <si>
    <t xml:space="preserve">Jose Javier S. Mirador</t>
  </si>
  <si>
    <t xml:space="preserve">Product Owner</t>
  </si>
  <si>
    <t xml:space="preserve">Anthony Duenas</t>
  </si>
  <si>
    <t xml:space="preserve">Developers</t>
  </si>
  <si>
    <t xml:space="preserve">Kirsten Evan Pimentel</t>
  </si>
  <si>
    <t xml:space="preserve">Project Champion</t>
  </si>
  <si>
    <t xml:space="preserve">Sir. Edward Madac (Adviser/Co-Adviser)</t>
  </si>
  <si>
    <t xml:space="preserve">Aleksej Aidan Hamer</t>
  </si>
  <si>
    <t xml:space="preserve">Other Stakeholders</t>
  </si>
  <si>
    <t xml:space="preserve">Logistics</t>
  </si>
  <si>
    <t xml:space="preserve">John Adrian Ochoa</t>
  </si>
  <si>
    <t xml:space="preserve">Finance</t>
  </si>
  <si>
    <t xml:space="preserve"> ITRO</t>
  </si>
  <si>
    <t xml:space="preserve">BMO</t>
  </si>
  <si>
    <t xml:space="preserve">Library</t>
  </si>
  <si>
    <t xml:space="preserve">Department Heads</t>
  </si>
  <si>
    <t xml:space="preserve">Executive Director</t>
  </si>
  <si>
    <t xml:space="preserve">AI System</t>
  </si>
  <si>
    <t xml:space="preserve">Projects</t>
  </si>
  <si>
    <t xml:space="preserve">Sprint Plan</t>
  </si>
  <si>
    <t xml:space="preserve">Project #1</t>
  </si>
  <si>
    <t xml:space="preserve">Id</t>
  </si>
  <si>
    <t xml:space="preserve">Description</t>
  </si>
  <si>
    <t xml:space="preserve">Start</t>
  </si>
  <si>
    <t xml:space="preserve">End</t>
  </si>
  <si>
    <t xml:space="preserve">Status</t>
  </si>
  <si>
    <t xml:space="preserve">Remarks</t>
  </si>
  <si>
    <t xml:space="preserve">Sprint</t>
  </si>
  <si>
    <t xml:space="preserve">Story Points (Committed)</t>
  </si>
  <si>
    <t xml:space="preserve">Story Points (Delivered)</t>
  </si>
  <si>
    <t xml:space="preserve">DocuPulse Platform Development (AY 2026-2027)</t>
  </si>
  <si>
    <t xml:space="preserve">In Progress</t>
  </si>
  <si>
    <t xml:space="preserve">Phase 1-2 (Planning &amp; Design, Weeks 1-4) complete; Sprints 1-4 below cover Phase 3-5 (Core Dev, AI/Phygital Integration, Testing &amp; Deployment)</t>
  </si>
  <si>
    <t xml:space="preserve">Spr. 1</t>
  </si>
  <si>
    <t xml:space="preserve">Not Started</t>
  </si>
  <si>
    <t xml:space="preserve">Requisition Form Submission (validation, attachments, history) and Requisition Tracking &amp; Status Monitoring (real-time status, approval chain visibility, QR sync, Dept Head notifications) (EP-01, EP-02)</t>
  </si>
  <si>
    <t xml:space="preserve">Spr. 2</t>
  </si>
  <si>
    <t xml:space="preserve">Digital Approval Workflow (Dept Head/Librarian, Finance, Logistics decisions) and Dashboard &amp; User Management (centralized dashboard, roles/permissions) (EP-03, EP-05)</t>
  </si>
  <si>
    <t xml:space="preserve">Spr. 3</t>
  </si>
  <si>
    <t xml:space="preserve">AI Features &amp; Automation (Smart Tagging, Predictive Analytics, Anomaly Detection, Smart Flow Rerouting) and Budget &amp; Analytics (utilization dashboards, financial impact, bottleneck reports) (EP-04, EP-06)</t>
  </si>
  <si>
    <t xml:space="preserve">Spr. 4</t>
  </si>
  <si>
    <t xml:space="preserve">Notifications &amp; Communication (status alerts, escalation) and Workflow Automation (auto-advance), plus end-to-end QA/usability testing, bug fixing, and deployment to APC hosting (EP-07, EP-08, QA, Deployment)</t>
  </si>
  <si>
    <t xml:space="preserve">Buffer week</t>
  </si>
  <si>
    <t xml:space="preserve">Institutional rollout buffer: stakeholder training, documentation handover, and go-live support (Week 13)</t>
  </si>
  <si>
    <t xml:space="preserve">Backlog</t>
  </si>
  <si>
    <t xml:space="preserve">Theme</t>
  </si>
  <si>
    <t xml:space="preserve">As a..</t>
  </si>
  <si>
    <t xml:space="preserve">I want to</t>
  </si>
  <si>
    <t xml:space="preserve">so that ..</t>
  </si>
  <si>
    <t xml:space="preserve">Acceptance Criteria</t>
  </si>
  <si>
    <t xml:space="preserve">Priority</t>
  </si>
  <si>
    <t xml:space="preserve">Type</t>
  </si>
  <si>
    <t xml:space="preserve">Project Id</t>
  </si>
  <si>
    <t xml:space="preserve">Sprint Id</t>
  </si>
  <si>
    <t xml:space="preserve">Story Points (Est.)</t>
  </si>
  <si>
    <t xml:space="preserve">Effort (Actual)</t>
  </si>
  <si>
    <t xml:space="preserve">Owner</t>
  </si>
  <si>
    <t xml:space="preserve">Co-owner/Secondary Lead</t>
  </si>
  <si>
    <t xml:space="preserve">DP-00</t>
  </si>
  <si>
    <t xml:space="preserve">User Authentication &amp; Account Creation</t>
  </si>
  <si>
    <t xml:space="preserve">user</t>
  </si>
  <si>
    <t xml:space="preserve">create an account and sign into DocuPulse</t>
  </si>
  <si>
    <t xml:space="preserve">I can access the platform according to my assigned department role</t>
  </si>
  <si>
    <t xml:space="preserve">1. Users can register with valid institutional credentials and select their department.
2. Form validates password requirements, department selection, and terms agreement.
3. Upon registration, default Requestor or assigned role is assigned.</t>
  </si>
  <si>
    <t xml:space="preserve">Foundational Auth / Prerequisites for Requisition Workflows</t>
  </si>
  <si>
    <t xml:space="preserve">High</t>
  </si>
  <si>
    <t xml:space="preserve">Feature</t>
  </si>
  <si>
    <t xml:space="preserve">DP-01</t>
  </si>
  <si>
    <t xml:space="preserve">EP-01
Requisition Form Submission</t>
  </si>
  <si>
    <t xml:space="preserve">requestor</t>
  </si>
  <si>
    <t xml:space="preserve">submit a requisition form digitally</t>
  </si>
  <si>
    <t xml:space="preserve">I no longer need to process requests manually</t>
  </si>
  <si>
    <t xml:space="preserve">1. Given an authorized requestor is logged into DocuPulse. 
2. When they fill in all required fields and submit a new requisition form. 
3. Then the system assigns a unique requisition ID, records a submission timestamp, and displays a confirmation message.</t>
  </si>
  <si>
    <t xml:space="preserve">Covers Use Case 1: Manage Requisition</t>
  </si>
  <si>
    <t xml:space="preserve">DP-02</t>
  </si>
  <si>
    <t xml:space="preserve">the system to validate my requisition form automatically</t>
  </si>
  <si>
    <t xml:space="preserve">errors can be corrected before processing</t>
  </si>
  <si>
    <t xml:space="preserve">1. System checks completeness of submitted requisition forms. 
2. Missing information is highlighted. 
3. Duplicate submissions are flagged. 
4. Valid requisitions proceed to Department Head approval.</t>
  </si>
  <si>
    <t xml:space="preserve">Entry-level validation reduces repetitive rerouting</t>
  </si>
  <si>
    <t xml:space="preserve">DP-03</t>
  </si>
  <si>
    <t xml:space="preserve">EP-01
Requisition</t>
  </si>
  <si>
    <t xml:space="preserve">attach supporting documents</t>
  </si>
  <si>
    <t xml:space="preserve">my requisition submission is complete</t>
  </si>
  <si>
    <t xml:space="preserve">1. Multiple supporting files can be uploaded. 
2. Supported formats include</t>
  </si>
  <si>
    <t xml:space="preserve">Medium</t>
  </si>
  <si>
    <t xml:space="preserve">Done</t>
  </si>
  <si>
    <t xml:space="preserve">DP-04</t>
  </si>
  <si>
    <t xml:space="preserve">view my previous requisition forms</t>
  </si>
  <si>
    <t xml:space="preserve">I can reference past requests</t>
  </si>
  <si>
    <t xml:space="preserve">1. Dashboard shows submitted requisitions. 
2. Requisitions are searchable.
3. Users can view current and historical statuses.</t>
  </si>
  <si>
    <t xml:space="preserve">DP-05</t>
  </si>
  <si>
    <t xml:space="preserve">EP-02
Requisition Tracking &amp; Status</t>
  </si>
  <si>
    <t xml:space="preserve">track my requisition form in real time</t>
  </si>
  <si>
    <t xml:space="preserve">I know its current status</t>
  </si>
  <si>
    <t xml:space="preserve">1. Current workflow stage is visible. 
2. Current department handling the requisition is displayed. 
3. Updates appear within one minute of status</t>
  </si>
  <si>
    <t xml:space="preserve">DP-06</t>
  </si>
  <si>
    <t xml:space="preserve">see the approval chain of my requisition form</t>
  </si>
  <si>
    <t xml:space="preserve">I know where delays occur</t>
  </si>
  <si>
    <t xml:space="preserve">1. Department Head approval status is visible.
2. Finance approval status is visible. 
3. Logistics processing status is visible. 
4. Date and time of each action</t>
  </si>
  <si>
    <t xml:space="preserve">DP-07</t>
  </si>
  <si>
    <t xml:space="preserve">EP-02
Requisition Tracking &amp; Status Monitoring</t>
  </si>
  <si>
    <t xml:space="preserve">logistics staff member</t>
  </si>
  <si>
    <t xml:space="preserve">scan QR codes attached to requisition forms</t>
  </si>
  <si>
    <t xml:space="preserve">physical and digital records remain synchronized</t>
  </si>
  <si>
    <t xml:space="preserve">1. QR code is generated upon submission. 
2. QR scans update requisition location. 
3. Updates are timestamped. 
4. Tracking location updates in the system upon successful</t>
  </si>
  <si>
    <t xml:space="preserve">Core to the phygital tracking concept</t>
  </si>
  <si>
    <t xml:space="preserve">DP-08</t>
  </si>
  <si>
    <t xml:space="preserve">Department Head</t>
  </si>
  <si>
    <t xml:space="preserve">review requisition forms</t>
  </si>
  <si>
    <t xml:space="preserve">only authorized requests proceed to Finance</t>
  </si>
  <si>
    <t xml:space="preserve">1. Notifications are generated automatically.
 2. Current stage is included in the notification. 
3. Notification history is stored.</t>
  </si>
  <si>
    <t xml:space="preserve">DP-09</t>
  </si>
  <si>
    <t xml:space="preserve">EP-03 Digital Approval Workflow</t>
  </si>
  <si>
    <t xml:space="preserve">Department Head / Librarian</t>
  </si>
  <si>
    <t xml:space="preserve">review and digitally approve or reject requisition forms</t>
  </si>
  <si>
    <t xml:space="preserve">I do not need to be physically present to sign</t>
  </si>
  <si>
    <t xml:space="preserve">1. Pending requisitions appear in the approval queue. 
2. Supporting documents are visible. 
3. Department Head can approve or reject.</t>
  </si>
  <si>
    <t xml:space="preserve">Librarian applies exclusively to library acquisition/guidance requisitions</t>
  </si>
  <si>
    <t xml:space="preserve">To Do</t>
  </si>
  <si>
    <t xml:space="preserve">DP-10</t>
  </si>
  <si>
    <t xml:space="preserve">finance officer</t>
  </si>
  <si>
    <t xml:space="preserve">review the budget impact before approving a requisition form</t>
  </si>
  <si>
    <t xml:space="preserve">overspending can be prevented</t>
  </si>
  <si>
    <t xml:space="preserve">1. Budget utilization is displayed. 
2. Estimated cost is displayed. 
3. Finance may approve, reject, or place on hold. 
4. Approved requisitions move to Logistics.
5. Requests exceeding budget are</t>
  </si>
  <si>
    <t xml:space="preserve">DP-11</t>
  </si>
  <si>
    <t xml:space="preserve">logistics officer</t>
  </si>
  <si>
    <t xml:space="preserve">process approved requisitions</t>
  </si>
  <si>
    <t xml:space="preserve">procurement activities can begin</t>
  </si>
  <si>
    <t xml:space="preserve">1. Logistics receives approved requisitions. 
2. Processing remarks may be recorded. 
3. Status updates are logged. 
4. Requestor receives updates.</t>
  </si>
  <si>
    <t xml:space="preserve">DP-12</t>
  </si>
  <si>
    <t xml:space="preserve">EP-04 AI
Features &amp; Automation</t>
  </si>
  <si>
    <t xml:space="preserve">requisitions automatically categorized with smart tags</t>
  </si>
  <si>
    <t xml:space="preserve">I can quickly filter and review requests</t>
  </si>
  <si>
    <t xml:space="preserve">1. The system automatically assigns tags based on requisition type. 
2. Tags are generated upon submission. 
3. Tags are visible to Department Heads, Finance, and Logistics. 
4. Authorized users can manually correct incorrect tags.</t>
  </si>
  <si>
    <t xml:space="preserve">AI capability: Smart Tagging</t>
  </si>
  <si>
    <t xml:space="preserve">DP-13</t>
  </si>
  <si>
    <t xml:space="preserve">Finance Officer</t>
  </si>
  <si>
    <t xml:space="preserve">view AI-generated budget impact estimates</t>
  </si>
  <si>
    <t xml:space="preserve">I can make informed approval decisions before committing funds</t>
  </si>
  <si>
    <t xml:space="preserve">1. The system estimates the projected cost of the requisition.</t>
  </si>
  <si>
    <t xml:space="preserve">AI capability: Predictive Analytics</t>
  </si>
  <si>
    <t xml:space="preserve">DP-14</t>
  </si>
  <si>
    <t xml:space="preserve">duplicate or unusual requisitions flagged automatically</t>
  </si>
  <si>
    <t xml:space="preserve">potential errors and improper requests are caught early</t>
  </si>
  <si>
    <t xml:space="preserve">1. The system automatically checks for duplicate submissions. 
2. The system identifies unusual request patterns. 
3. Duplicate requisitions are flagged before approval. </t>
  </si>
  <si>
    <t xml:space="preserve">AI capability: Anomaly Detection</t>
  </si>
  <si>
    <t xml:space="preserve">DP-15</t>
  </si>
  <si>
    <t xml:space="preserve">Approver (Department Head / Executive Director)</t>
  </si>
  <si>
    <t xml:space="preserve">high-cost or high-risk requisitions automatically rerouted for additional senior review</t>
  </si>
  <si>
    <t xml:space="preserve">major expenses undergo proper oversight</t>
  </si>
  <si>
    <t xml:space="preserve">1. The system evaluates requisitions using cost and anomaly indicators.
2. High-cost requisitions are flagged automatically. 
3. High-risk requisitions are redirected to additional authorized reviewers. 
4. Rerouting decisions are logged with timestamps. 
5. Requestors and reviewers are notified when rerouting occurs.</t>
  </si>
  <si>
    <t xml:space="preserve">AI capability: Smart Flow Rerouting</t>
  </si>
  <si>
    <t xml:space="preserve">DP-16</t>
  </si>
  <si>
    <t xml:space="preserve">EP-05
Dashboard &amp; User Management</t>
  </si>
  <si>
    <t xml:space="preserve">a centralized dashboard showing all requisitions</t>
  </si>
  <si>
    <t xml:space="preserve">I can monitor institution-wide workflow activity</t>
  </si>
  <si>
    <t xml:space="preserve">1. Dashboard displays all active requisitions. 
2. Requisitions can be filtered by status and department. 
3. High-priority requisitions are highlighted.
4. Dashboard displays current workflow stage. 
5. Dashboard refreshes active queue data upon status change.</t>
  </si>
  <si>
    <t xml:space="preserve">Admin</t>
  </si>
  <si>
    <t xml:space="preserve">DP-17</t>
  </si>
  <si>
    <t xml:space="preserve">logistics staff</t>
  </si>
  <si>
    <t xml:space="preserve">manage user roles and permissions</t>
  </si>
  <si>
    <t xml:space="preserve">users only access information relevant to their responsibilities</t>
  </si>
  <si>
    <t xml:space="preserve">1. Administrator can create user accounts. 
2. Administrator can edit user information. 
3. Administrator can deactivate accounts. 
4. Role permissions are configurable. 
5. Access changes take effect immediately.</t>
  </si>
  <si>
    <t xml:space="preserve">DP-18</t>
  </si>
  <si>
    <t xml:space="preserve">EP-06 Budget &amp; Analytics</t>
  </si>
  <si>
    <t xml:space="preserve">visualize budget utilization</t>
  </si>
  <si>
    <t xml:space="preserve">spending can be monitored effectively</t>
  </si>
  <si>
    <t xml:space="preserve">1. Dashboard displays total approved expenditures. 
2. Remaining budget is displayed. 
3. Budget utilization is represented visually. 
4. Data can be viewed per department. 
5. Historical budget records can be accessed.</t>
  </si>
  <si>
    <t xml:space="preserve">DP-19</t>
  </si>
  <si>
    <t xml:space="preserve">see the financial impact of each requisition</t>
  </si>
  <si>
    <t xml:space="preserve">approvals are based on available funds</t>
  </si>
  <si>
    <t xml:space="preserve">1. Estimated requisition cost is displayed.
2. Budget impact is calculated automatically. 
3. Finance personnel can compare cost against remaining budget.
4. Budget warnings appear when limits are approached. 
5. Cost analysis is recorded in the requisition history.</t>
  </si>
  <si>
    <t xml:space="preserve">DP-20</t>
  </si>
  <si>
    <t xml:space="preserve">reports on processing times and workflow bottlenecks</t>
  </si>
  <si>
    <t xml:space="preserve">process improvements can be identified</t>
  </si>
  <si>
    <t xml:space="preserve">1. Reports show average processing times. 
2. Reports identify delayed requisitions. 
3. Reports can be filtered by department. 
4. Reports can be exported.
5. Historical reports are retained.</t>
  </si>
  <si>
    <t xml:space="preserve">DP-21</t>
  </si>
  <si>
    <t xml:space="preserve">EP-07
Notifications &amp; Communicatio n</t>
  </si>
  <si>
    <t xml:space="preserve">notifications for every workflow stage change</t>
  </si>
  <si>
    <t xml:space="preserve">I know the progress of my requisition</t>
  </si>
  <si>
    <t xml:space="preserve">1. Notifications are generated automatically on status changes. 
2. Notifications indicate the new workflow stage. 
3. Notifications are visible in-app.
4. Notification history is maintained. 
5. Users can view previously received notifications.</t>
  </si>
  <si>
    <t xml:space="preserve">DP-22</t>
  </si>
  <si>
    <t xml:space="preserve">escalation alerts when a requisition is delayed</t>
  </si>
  <si>
    <t xml:space="preserve">bottlenecks are visible</t>
  </si>
  <si>
    <t xml:space="preserve">1. The system identifies delayed requisitions. 
2. Escalation alerts are automatically generated. 
3. Alerts  include the current workflow stage. 
4. Alerts indicate the number of delayed days. 
5. Escalation events are recorded in the system.</t>
  </si>
  <si>
    <t xml:space="preserve">DP-23</t>
  </si>
  <si>
    <t xml:space="preserve">EP-08
Workflow Automation</t>
  </si>
  <si>
    <t xml:space="preserve">Requestor</t>
  </si>
  <si>
    <t xml:space="preserve">my requisition to automatically advance to the next approval stage upon review</t>
  </si>
  <si>
    <t xml:space="preserve">processing continues without manual handoffs</t>
  </si>
  <si>
    <t xml:space="preserve">1. Approved Department Head requisitions move automatically to Finance. 
2. Approved Finance requisitions move to Logistics. 
3. Rejected requisitions stop the workflow.
4. Workflow transitions are timestamped and logged.
5. Requestors receive notifications after each workflow transition.</t>
  </si>
  <si>
    <t xml:space="preserve">DP-24</t>
  </si>
  <si>
    <t xml:space="preserve">QA / Usability &amp; Functional Testing</t>
  </si>
  <si>
    <t xml:space="preserve">project team</t>
  </si>
  <si>
    <t xml:space="preserve">conduct end-to-end functional and usability testing across all core workflows</t>
  </si>
  <si>
    <t xml:space="preserve">the platform meets functional requirements before institutional rollout</t>
  </si>
  <si>
    <t xml:space="preserve">Given all Sprint 1-4 features are complete, when usability testing is conducted with representative requestors and approvers, then the system passes functional test cases and achieves an acceptable usability score.</t>
  </si>
  <si>
    <t xml:space="preserve">Covers Requisition Submission, Tracking, Approval, and AI features end-to-end</t>
  </si>
  <si>
    <t xml:space="preserve">QA</t>
  </si>
  <si>
    <t xml:space="preserve">DP-25</t>
  </si>
  <si>
    <t xml:space="preserve">QA / Bug Fixing</t>
  </si>
  <si>
    <t xml:space="preserve">fix defects identified during testing</t>
  </si>
  <si>
    <t xml:space="preserve">the system is stable and ready for production use</t>
  </si>
  <si>
    <t xml:space="preserve">Given a logged defect, when the team resolves and retests it, then the issue no longer reproduces and is marked closed.</t>
  </si>
  <si>
    <t xml:space="preserve">Prioritize blockers/high-severity issues first</t>
  </si>
  <si>
    <t xml:space="preserve">DP-26</t>
  </si>
  <si>
    <t xml:space="preserve">Deployment</t>
  </si>
  <si>
    <t xml:space="preserve">ITRO / Logistics team</t>
  </si>
  <si>
    <t xml:space="preserve">deploy DocuPulse to the APC hosting environment</t>
  </si>
  <si>
    <t xml:space="preserve">the system is accessible to all departments campus-wide</t>
  </si>
  <si>
    <t xml:space="preserve">Given a stable, tested build, when the team deploys the Web Portal, Requisition API, and databases to hosting (e.g., Promox and Supabase), then the platform is reachable by all authorized users without errors.</t>
  </si>
  <si>
    <t xml:space="preserve">No dedicated mobile app; responsive web only</t>
  </si>
  <si>
    <t xml:space="preserve">Deployme nt</t>
  </si>
  <si>
    <t xml:space="preserve">Sprint Tracker</t>
  </si>
  <si>
    <t xml:space="preserve">&lt;- effort / day -&gt;</t>
  </si>
  <si>
    <t xml:space="preserve">Backlog Id</t>
  </si>
  <si>
    <t xml:space="preserve">Co-Owner</t>
  </si>
  <si>
    <t xml:space="preserve">Completed</t>
  </si>
  <si>
    <t xml:space="preserve">Pending</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</si>
  <si>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</si>
  <si>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</si>
  <si>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</si>
  <si>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</si>
  <si>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</si>
  <si>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</si>
  <si>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</si>
  <si>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</si>
  <si>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</si>
  <si>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</si>
  <si>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Submit requisition form digital</t>
  </si>
  <si>
    <t xml:space="preserve">Automatic requisition form</t>
  </si>
  <si>
    <t xml:space="preserve">Attach supporting documents</t>
  </si>
  <si>
    <t xml:space="preserve">View previous requisition</t>
  </si>
  <si>
    <t xml:space="preserve">Aleksej  Aidan Hamer</t>
  </si>
  <si>
    <t xml:space="preserve">Real-time requisition status</t>
  </si>
  <si>
    <t xml:space="preserve">Kristen Evan Pimentel</t>
  </si>
  <si>
    <t xml:space="preserve">View approval chain of requisition</t>
  </si>
  <si>
    <t xml:space="preserve">QR code scan for phygital sync</t>
  </si>
  <si>
    <t xml:space="preserve">Department Head review notification</t>
  </si>
  <si>
    <t xml:space="preserve">Review &amp; digitally approve/reject requisition forms</t>
  </si>
  <si>
    <t xml:space="preserve">Review budget impact before approving requisition</t>
  </si>
  <si>
    <t xml:space="preserve">Process approved requisitions (Logistics)</t>
  </si>
  <si>
    <t xml:space="preserve">Centralized requisition dashboard</t>
  </si>
  <si>
    <t xml:space="preserve">Manage user roles &amp; permissions</t>
  </si>
  <si>
    <t xml:space="preserve">Total</t>
  </si>
  <si>
    <t xml:space="preserve">Burn down</t>
  </si>
  <si>
    <t xml:space="preserve">Burn up</t>
  </si>
  <si>
    <t xml:space="preserve">Impediments</t>
  </si>
  <si>
    <t xml:space="preserve">Raised By</t>
  </si>
  <si>
    <t xml:space="preserve">Raised On</t>
  </si>
  <si>
    <t xml:space="preserve">Sprint #</t>
  </si>
  <si>
    <t xml:space="preserve">Impacted Backlog #</t>
  </si>
  <si>
    <t xml:space="preserve">Resolution</t>
  </si>
  <si>
    <t xml:space="preserve">Resolved On</t>
  </si>
  <si>
    <t xml:space="preserve">IMP-01</t>
  </si>
  <si>
    <t xml:space="preserve">Delay starting Sprint 1 tasks due to unassigned task owners and uncalibrated DP story point estimates.</t>
  </si>
  <si>
    <t xml:space="preserve">Aleksej Hamer</t>
  </si>
  <si>
    <t xml:space="preserve">Sprint 1</t>
  </si>
  <si>
    <t xml:space="preserve">DP-01 to DP-08</t>
  </si>
  <si>
    <t xml:space="preserve">Closed</t>
  </si>
  <si>
    <t xml:space="preserve">Held a backlog refinement meeting to assign owners and calibrate story points.</t>
  </si>
  <si>
    <t xml:space="preserve">Backlog finalized and ownership clarified across the team.</t>
  </si>
  <si>
    <t xml:space="preserve">IMP-02</t>
  </si>
  <si>
    <t xml:space="preserve">Initial confusion regarding the end-to-end user workflow and specific requirements for each DP.</t>
  </si>
  <si>
    <t xml:space="preserve">Team </t>
  </si>
  <si>
    <t xml:space="preserve">Sprint 1 </t>
  </si>
  <si>
    <t xml:space="preserve">Reviewed System Use Case Specifications together and mapped out all stage transitions.</t>
  </si>
  <si>
    <t xml:space="preserve">Requisition workflow logic aligned across frontend and backend.</t>
  </si>
  <si>
    <t xml:space="preserve">IMP-03</t>
  </si>
  <si>
    <t xml:space="preserve">Delay in starting frontend component coding due to missing Figma wireframes and design system.</t>
  </si>
  <si>
    <t xml:space="preserve">DP-01, DP-04</t>
  </si>
  <si>
    <t xml:space="preserve">Closed </t>
  </si>
  <si>
    <t xml:space="preserve">Finalized component layouts, color palettes, and UI prototypes in Figma.</t>
  </si>
  <si>
    <t xml:space="preserve">UI design system established; frontend coding commenced smoothly.</t>
  </si>
  <si>
    <t xml:space="preserve">IMP-04</t>
  </si>
  <si>
    <t xml:space="preserve">Configuration issues connecting backend environment variables, Supabase database, and API routing.</t>
  </si>
  <si>
    <t xml:space="preserve">DP-02, DP-08</t>
  </si>
  <si>
    <t xml:space="preserve">Set up proper API keys, database tables, and NestJS adapter routing.</t>
  </si>
  <si>
    <t xml:space="preserve">Backend structure stabilized and database connectivity verified.</t>
  </si>
  <si>
    <t xml:space="preserve">Retrospective Log</t>
  </si>
  <si>
    <t xml:space="preserve">Date</t>
  </si>
  <si>
    <t xml:space="preserve">Continue Doing</t>
  </si>
  <si>
    <t xml:space="preserve">Start Doing</t>
  </si>
  <si>
    <t xml:space="preserve">Stop Doing</t>
  </si>
  <si>
    <t xml:space="preserve">Leading daily scrum meetings consistently and organizing team logs.</t>
  </si>
  <si>
    <t xml:space="preserve">Enforcing strict meeting start times and keeping team tasks on schedule.</t>
  </si>
  <si>
    <t xml:space="preserve">Allowing meetings to start late or tasks to proceed without check-ins.</t>
  </si>
  <si>
    <t xml:space="preserve">Workload balanced well across the sprint. </t>
  </si>
  <si>
    <t xml:space="preserve">Finishing assigned tasks quickly and managing repository updates.</t>
  </si>
  <si>
    <t xml:space="preserve">Improving arrival time for daily team meetings.</t>
  </si>
  <si>
    <t xml:space="preserve">Minor meeting tardiness </t>
  </si>
  <si>
    <t xml:space="preserve">Task completion speed is high; working on meeting punctuality.</t>
  </si>
  <si>
    <t xml:space="preserve">Assisting with backend setup and database integration.</t>
  </si>
  <si>
    <t xml:space="preserve">Task completion speed is alright; working on meeting punctuality.</t>
  </si>
  <si>
    <t xml:space="preserve">Reliably completing  coding tasks quickly with high quality.</t>
  </si>
  <si>
    <t xml:space="preserve">Task completion speed is good; working on meeting punctuality.</t>
  </si>
  <si>
    <t xml:space="preserve">Assisting with testing app features and giving useful insights.</t>
  </si>
  <si>
    <t xml:space="preserve">Arriving on time for all scheduled group meetings and team syncs.</t>
  </si>
  <si>
    <t xml:space="preserve">Being consistently late to daily scrums and team discussions.</t>
  </si>
  <si>
    <t xml:space="preserve">Testing and completion output is good; major improvement needed on meeting punctuality.</t>
  </si>
  <si>
    <t xml:space="preserve">Reports &amp; Dashboards</t>
  </si>
  <si>
    <t xml:space="preserve">Sprint Velocity</t>
  </si>
  <si>
    <t xml:space="preserve">Burn down Chart</t>
  </si>
  <si>
    <t xml:space="preserve">Burn up Chart</t>
  </si>
  <si>
    <t xml:space="preserve">References</t>
  </si>
  <si>
    <t xml:space="preserve">External</t>
  </si>
  <si>
    <t xml:space="preserve">Internal</t>
  </si>
  <si>
    <t xml:space="preserve">Link</t>
  </si>
  <si>
    <t xml:space="preserve">DocuPulse Full Project Documentation (MSYADD1)</t>
  </si>
  <si>
    <t xml:space="preserve">https://www.scrumalliance.org/community/articles/2007/march/glossary-of-scrum-terms</t>
  </si>
  <si>
    <t xml:space="preserve">Use Case Diagram / Full Dressed Use Cases
</t>
  </si>
  <si>
    <t xml:space="preserve">Scrum Glossary &amp; Terminology</t>
  </si>
  <si>
    <t xml:space="preserve">https://www.scrumalliance.org/community/articles/2007/</t>
  </si>
  <si>
    <t xml:space="preserve">System Context, Container &amp; Ccmponent
</t>
  </si>
  <si>
    <t xml:space="preserve">Figma </t>
  </si>
  <si>
    <t xml:space="preserve">https://www.figma.com/make/bkBYzmTVkSLdKEk4ctR9Jw/Document-Tracking-System?t=UW0vMv0lCwRQjHGk-1</t>
  </si>
</sst>
</file>

<file path=xl/styles.xml><?xml version="1.0" encoding="utf-8"?>
<styleSheet xmlns="http://schemas.openxmlformats.org/spreadsheetml/2006/main">
  <numFmts count="7">
    <numFmt numFmtId="164" formatCode="General"/>
    <numFmt numFmtId="165" formatCode="[$-4009]dd/mmm/yy;@"/>
    <numFmt numFmtId="166" formatCode="@"/>
    <numFmt numFmtId="167" formatCode="0"/>
    <numFmt numFmtId="168" formatCode="General"/>
    <numFmt numFmtId="169" formatCode="m/d/yyyy"/>
    <numFmt numFmtId="170" formatCode="d\-mmm\-yy"/>
  </numFmts>
  <fonts count="20">
    <font>
      <sz val="10"/>
      <color theme="1"/>
      <name val="Calibri"/>
      <family val="2"/>
      <charset val="1"/>
    </font>
    <font>
      <sz val="10"/>
      <name val="Arial"/>
      <family val="0"/>
    </font>
    <font>
      <sz val="10"/>
      <name val="Arial"/>
      <family val="0"/>
    </font>
    <font>
      <sz val="10"/>
      <name val="Arial"/>
      <family val="0"/>
    </font>
    <font>
      <b val="true"/>
      <sz val="14"/>
      <color theme="1"/>
      <name val="Calibri"/>
      <family val="2"/>
      <charset val="1"/>
    </font>
    <font>
      <b val="true"/>
      <sz val="11"/>
      <color theme="1"/>
      <name val="Calibri"/>
      <family val="2"/>
      <charset val="1"/>
    </font>
    <font>
      <b val="true"/>
      <sz val="10"/>
      <color theme="1"/>
      <name val="Calibri"/>
      <family val="2"/>
      <charset val="1"/>
    </font>
    <font>
      <sz val="10"/>
      <color rgb="FF000000"/>
      <name val="Calibri"/>
      <family val="0"/>
      <charset val="1"/>
    </font>
    <font>
      <i val="true"/>
      <sz val="10"/>
      <color theme="1"/>
      <name val="Calibri"/>
      <family val="2"/>
      <charset val="1"/>
    </font>
    <font>
      <sz val="11"/>
      <color theme="1"/>
      <name val="Calibri"/>
      <family val="2"/>
      <charset val="1"/>
    </font>
    <font>
      <sz val="10"/>
      <name val="Calibri"/>
      <family val="0"/>
      <charset val="1"/>
    </font>
    <font>
      <sz val="11"/>
      <name val="Calibri"/>
      <family val="0"/>
      <charset val="1"/>
    </font>
    <font>
      <sz val="10"/>
      <color rgb="FF000000"/>
      <name val="Calibri"/>
      <family val="2"/>
      <charset val="1"/>
    </font>
    <font>
      <sz val="8"/>
      <color theme="0" tint="-0.25"/>
      <name val="Calibri"/>
      <family val="2"/>
      <charset val="1"/>
    </font>
    <font>
      <b val="true"/>
      <sz val="12"/>
      <color rgb="FF404040"/>
      <name val="Calibri Light"/>
      <family val="2"/>
    </font>
    <font>
      <sz val="9"/>
      <color rgb="FF595959"/>
      <name val="Calibri"/>
      <family val="2"/>
    </font>
    <font>
      <b val="true"/>
      <sz val="12"/>
      <color rgb="FF808080"/>
      <name val="Calibri Light"/>
      <family val="2"/>
    </font>
    <font>
      <sz val="9"/>
      <color rgb="FF404040"/>
      <name val="Calibri"/>
      <family val="2"/>
    </font>
    <font>
      <u val="single"/>
      <sz val="11"/>
      <color theme="10"/>
      <name val="Calibri"/>
      <family val="2"/>
      <charset val="1"/>
    </font>
    <font>
      <u val="single"/>
      <sz val="10"/>
      <color theme="10"/>
      <name val="Calibri"/>
      <family val="2"/>
      <charset val="1"/>
    </font>
  </fonts>
  <fills count="12">
    <fill>
      <patternFill patternType="none"/>
    </fill>
    <fill>
      <patternFill patternType="gray125"/>
    </fill>
    <fill>
      <patternFill patternType="solid">
        <fgColor theme="4" tint="0.7999"/>
        <bgColor rgb="FFD6DCE5"/>
      </patternFill>
    </fill>
    <fill>
      <patternFill patternType="solid">
        <fgColor theme="9" tint="0.5999"/>
        <bgColor rgb="FFC4DFB3"/>
      </patternFill>
    </fill>
    <fill>
      <patternFill patternType="solid">
        <fgColor theme="7" tint="0.5999"/>
        <bgColor rgb="FFFFD966"/>
      </patternFill>
    </fill>
    <fill>
      <patternFill patternType="solid">
        <fgColor rgb="FF9CC2E5"/>
        <bgColor rgb="FF9DC3E6"/>
      </patternFill>
    </fill>
    <fill>
      <patternFill patternType="solid">
        <fgColor rgb="FFC8C8C8"/>
        <bgColor rgb="FFC9C9C9"/>
      </patternFill>
    </fill>
    <fill>
      <patternFill patternType="solid">
        <fgColor rgb="FFC4DFB3"/>
        <bgColor rgb="FFC5E0B4"/>
      </patternFill>
    </fill>
    <fill>
      <patternFill patternType="solid">
        <fgColor theme="8" tint="0.3999"/>
        <bgColor rgb="FF9CC2E5"/>
      </patternFill>
    </fill>
    <fill>
      <patternFill patternType="solid">
        <fgColor theme="3" tint="0.7999"/>
        <bgColor rgb="FFD9D9D9"/>
      </patternFill>
    </fill>
    <fill>
      <patternFill patternType="solid">
        <fgColor theme="0" tint="-0.05"/>
        <bgColor rgb="FFE7E6E6"/>
      </patternFill>
    </fill>
    <fill>
      <patternFill patternType="solid">
        <fgColor theme="0" tint="-0.25"/>
        <bgColor rgb="FFBEBEBE"/>
      </patternFill>
    </fill>
  </fills>
  <borders count="22">
    <border diagonalUp="false" diagonalDown="false">
      <left/>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right/>
      <top/>
      <bottom style="thin">
        <color theme="0" tint="-0.25"/>
      </bottom>
      <diagonal/>
    </border>
    <border diagonalUp="false" diagonalDown="false">
      <left style="thin">
        <color theme="2"/>
      </left>
      <right style="thin">
        <color theme="0" tint="-0.25"/>
      </right>
      <top style="thin">
        <color theme="2"/>
      </top>
      <bottom style="thin">
        <color theme="0" tint="-0.25"/>
      </bottom>
      <diagonal/>
    </border>
    <border diagonalUp="false" diagonalDown="false">
      <left style="thin">
        <color theme="0" tint="-0.25"/>
      </left>
      <right style="thin">
        <color theme="2"/>
      </right>
      <top style="thin">
        <color theme="2"/>
      </top>
      <bottom style="thin">
        <color theme="0" tint="-0.25"/>
      </bottom>
      <diagonal/>
    </border>
    <border diagonalUp="false" diagonalDown="false">
      <left/>
      <right style="thin">
        <color theme="2"/>
      </right>
      <top style="thin">
        <color theme="2"/>
      </top>
      <bottom style="thin">
        <color theme="2"/>
      </bottom>
      <diagonal/>
    </border>
    <border diagonalUp="false" diagonalDown="false">
      <left style="thin">
        <color theme="2"/>
      </left>
      <right style="thin">
        <color theme="0" tint="-0.25"/>
      </right>
      <top style="thin">
        <color theme="0" tint="-0.25"/>
      </top>
      <bottom style="thin">
        <color theme="0" tint="-0.25"/>
      </bottom>
      <diagonal/>
    </border>
    <border diagonalUp="false" diagonalDown="false">
      <left style="thin">
        <color theme="0" tint="-0.25"/>
      </left>
      <right style="thin">
        <color theme="2"/>
      </right>
      <top style="thin">
        <color theme="0" tint="-0.25"/>
      </top>
      <bottom style="thin">
        <color theme="0" tint="-0.25"/>
      </bottom>
      <diagonal/>
    </border>
    <border diagonalUp="false" diagonalDown="false">
      <left style="thin">
        <color theme="2"/>
      </left>
      <right style="thin">
        <color theme="2"/>
      </right>
      <top style="thin">
        <color theme="2"/>
      </top>
      <bottom style="thin">
        <color theme="2"/>
      </bottom>
      <diagonal/>
    </border>
    <border diagonalUp="false" diagonalDown="false">
      <left style="thin">
        <color theme="0" tint="-0.25"/>
      </left>
      <right/>
      <top style="thin">
        <color theme="0" tint="-0.25"/>
      </top>
      <bottom style="thin">
        <color theme="0" tint="-0.25"/>
      </bottom>
      <diagonal/>
    </border>
    <border diagonalUp="false" diagonalDown="false">
      <left/>
      <right/>
      <top/>
      <bottom style="thin">
        <color theme="2"/>
      </bottom>
      <diagonal/>
    </border>
    <border diagonalUp="false" diagonalDown="false">
      <left style="thin">
        <color theme="0" tint="-0.25"/>
      </left>
      <right style="thin">
        <color theme="2"/>
      </right>
      <top style="thin">
        <color theme="0" tint="-0.25"/>
      </top>
      <bottom style="thin">
        <color theme="2"/>
      </bottom>
      <diagonal/>
    </border>
    <border diagonalUp="false" diagonalDown="false">
      <left style="thin">
        <color theme="2"/>
      </left>
      <right/>
      <top/>
      <bottom/>
      <diagonal/>
    </border>
    <border diagonalUp="false" diagonalDown="false">
      <left style="thin">
        <color theme="2"/>
      </left>
      <right style="thin">
        <color theme="2"/>
      </right>
      <top/>
      <bottom style="thin">
        <color theme="0" tint="-0.25"/>
      </bottom>
      <diagonal/>
    </border>
    <border diagonalUp="false" diagonalDown="false">
      <left style="thin">
        <color theme="2"/>
      </left>
      <right style="thin">
        <color theme="2"/>
      </right>
      <top style="thin">
        <color theme="0" tint="-0.25"/>
      </top>
      <bottom style="thin">
        <color theme="0" tint="-0.25"/>
      </bottom>
      <diagonal/>
    </border>
    <border diagonalUp="false" diagonalDown="false">
      <left style="thin">
        <color theme="2"/>
      </left>
      <right style="thin">
        <color theme="2"/>
      </right>
      <top/>
      <bottom/>
      <diagonal/>
    </border>
    <border diagonalUp="false" diagonalDown="false">
      <left style="thin">
        <color theme="2"/>
      </left>
      <right style="thin">
        <color theme="2"/>
      </right>
      <top/>
      <bottom style="thin">
        <color theme="2"/>
      </bottom>
      <diagonal/>
    </border>
    <border diagonalUp="false" diagonalDown="false">
      <left style="thin">
        <color rgb="FFBEBEBE"/>
      </left>
      <right style="thin">
        <color rgb="FFBEBEBE"/>
      </right>
      <top style="thin">
        <color rgb="FFBEBEBE"/>
      </top>
      <bottom style="thin">
        <color rgb="FFBEBEBE"/>
      </bottom>
      <diagonal/>
    </border>
    <border diagonalUp="false" diagonalDown="false">
      <left style="thin">
        <color theme="0" tint="-0.25"/>
      </left>
      <right style="thin">
        <color theme="0" tint="-0.25"/>
      </right>
      <top style="thin">
        <color theme="0" tint="-0.25"/>
      </top>
      <bottom/>
      <diagonal/>
    </border>
    <border diagonalUp="false" diagonalDown="false">
      <left style="medium">
        <color theme="2"/>
      </left>
      <right style="medium">
        <color theme="2"/>
      </right>
      <top style="medium">
        <color theme="2"/>
      </top>
      <bottom style="medium">
        <color theme="2"/>
      </bottom>
      <diagonal/>
    </border>
    <border diagonalUp="false" diagonalDown="false">
      <left/>
      <right style="thin">
        <color theme="0" tint="-0.25"/>
      </right>
      <top style="thin">
        <color theme="0" tint="-0.25"/>
      </top>
      <bottom style="thin">
        <color theme="0" tint="-0.25"/>
      </bottom>
      <diagonal/>
    </border>
    <border diagonalUp="false" diagonalDown="false">
      <left style="medium">
        <color theme="2"/>
      </left>
      <right style="medium">
        <color theme="2"/>
      </right>
      <top/>
      <bottom style="medium">
        <color them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3" xfId="0" applyFont="tru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6" fillId="2" borderId="6"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left" vertical="top" textRotation="0" wrapText="tru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0" fillId="0" borderId="11" xfId="0" applyFont="true" applyBorder="true" applyAlignment="true" applyProtection="false">
      <alignment horizontal="left" vertical="top" textRotation="0" wrapText="true" indent="0" shrinkToFit="false"/>
      <protection locked="true" hidden="false"/>
    </xf>
    <xf numFmtId="164" fontId="0" fillId="0" borderId="12" xfId="0" applyFont="true" applyBorder="true" applyAlignment="true" applyProtection="false">
      <alignment horizontal="left" vertical="top" textRotation="0" wrapText="true" indent="0" shrinkToFit="false"/>
      <protection locked="true" hidden="false"/>
    </xf>
    <xf numFmtId="164" fontId="7" fillId="0" borderId="8" xfId="0" applyFont="true" applyBorder="true" applyAlignment="true" applyProtection="false">
      <alignment horizontal="left" vertical="top" textRotation="0" wrapText="true" indent="0" shrinkToFit="false"/>
      <protection locked="true" hidden="false"/>
    </xf>
    <xf numFmtId="164" fontId="0" fillId="0" borderId="13" xfId="0" applyFont="true" applyBorder="true" applyAlignment="true" applyProtection="false">
      <alignment horizontal="left" vertical="top" textRotation="0" wrapText="true" indent="0" shrinkToFit="false"/>
      <protection locked="true" hidden="false"/>
    </xf>
    <xf numFmtId="164" fontId="0" fillId="0" borderId="14" xfId="0" applyFont="true" applyBorder="true" applyAlignment="true" applyProtection="false">
      <alignment horizontal="left" vertical="top" textRotation="0" wrapText="true" indent="0" shrinkToFit="false"/>
      <protection locked="true" hidden="false"/>
    </xf>
    <xf numFmtId="164" fontId="0" fillId="0" borderId="15" xfId="0" applyFont="true" applyBorder="true" applyAlignment="true" applyProtection="false">
      <alignment horizontal="left" vertical="top" textRotation="0" wrapText="true" indent="0" shrinkToFit="false"/>
      <protection locked="true" hidden="false"/>
    </xf>
    <xf numFmtId="164" fontId="0" fillId="0" borderId="16"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left" vertical="top" textRotation="0" wrapText="true" indent="0" shrinkToFit="false"/>
      <protection locked="true" hidden="false"/>
    </xf>
    <xf numFmtId="166" fontId="0" fillId="0" borderId="1" xfId="0" applyFont="tru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6" fontId="0" fillId="0" borderId="1" xfId="0" applyFont="tru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5" borderId="17" xfId="0" applyFont="true" applyBorder="true" applyAlignment="true" applyProtection="false">
      <alignment horizontal="center" vertical="top" textRotation="0" wrapText="true" indent="0" shrinkToFit="false"/>
      <protection locked="true" hidden="false"/>
    </xf>
    <xf numFmtId="164" fontId="10" fillId="5" borderId="17" xfId="0" applyFont="true" applyBorder="true" applyAlignment="true" applyProtection="false">
      <alignment horizontal="center" vertical="center" textRotation="0" wrapText="true" indent="1" shrinkToFit="false"/>
      <protection locked="true" hidden="false"/>
    </xf>
    <xf numFmtId="164" fontId="10" fillId="5" borderId="17" xfId="0" applyFont="true" applyBorder="true" applyAlignment="true" applyProtection="false">
      <alignment horizontal="center" vertical="center" textRotation="0" wrapText="true" indent="0" shrinkToFit="false"/>
      <protection locked="true" hidden="false"/>
    </xf>
    <xf numFmtId="164" fontId="10" fillId="5" borderId="17" xfId="0" applyFont="true" applyBorder="true" applyAlignment="true" applyProtection="false">
      <alignment horizontal="left" vertical="top" textRotation="0" wrapText="true" indent="3" shrinkToFit="false"/>
      <protection locked="true" hidden="false"/>
    </xf>
    <xf numFmtId="164" fontId="10" fillId="5" borderId="17" xfId="0" applyFont="true" applyBorder="true" applyAlignment="true" applyProtection="false">
      <alignment horizontal="left" vertical="top" textRotation="0" wrapText="true" indent="1" shrinkToFit="false"/>
      <protection locked="true" hidden="false"/>
    </xf>
    <xf numFmtId="164" fontId="10" fillId="6" borderId="17" xfId="0" applyFont="true" applyBorder="true" applyAlignment="true" applyProtection="false">
      <alignment horizontal="right" vertical="top" textRotation="0" wrapText="true" indent="0" shrinkToFit="false"/>
      <protection locked="true" hidden="false"/>
    </xf>
    <xf numFmtId="164" fontId="10" fillId="7" borderId="17" xfId="0" applyFont="true" applyBorder="true" applyAlignment="true" applyProtection="false">
      <alignment horizontal="right" vertical="top" textRotation="0" wrapText="true" indent="0" shrinkToFit="false"/>
      <protection locked="true" hidden="false"/>
    </xf>
    <xf numFmtId="164" fontId="10" fillId="7" borderId="17" xfId="0" applyFont="true" applyBorder="true" applyAlignment="true" applyProtection="false">
      <alignment horizontal="left" vertical="top" textRotation="0" wrapText="true" indent="0" shrinkToFit="false"/>
      <protection locked="true" hidden="false"/>
    </xf>
    <xf numFmtId="164" fontId="11" fillId="7" borderId="17" xfId="0" applyFont="true" applyBorder="true" applyAlignment="true" applyProtection="false">
      <alignment horizontal="center" vertical="center" textRotation="0" wrapText="true" indent="1" shrinkToFit="false"/>
      <protection locked="true" hidden="false"/>
    </xf>
    <xf numFmtId="164" fontId="11" fillId="7" borderId="17" xfId="0" applyFont="true" applyBorder="true" applyAlignment="true" applyProtection="false">
      <alignment horizontal="left" vertical="top" textRotation="0" wrapText="true" indent="0" shrinkToFit="false"/>
      <protection locked="true" hidden="false"/>
    </xf>
    <xf numFmtId="164" fontId="10" fillId="7" borderId="17" xfId="0" applyFont="true" applyBorder="true" applyAlignment="true" applyProtection="false">
      <alignment horizontal="center" vertical="top" textRotation="0" wrapText="true" indent="0" shrinkToFit="false"/>
      <protection locked="true" hidden="false"/>
    </xf>
    <xf numFmtId="164" fontId="10" fillId="0" borderId="17" xfId="0" applyFont="true" applyBorder="true" applyAlignment="true" applyProtection="false">
      <alignment horizontal="center" vertical="top" textRotation="0" wrapText="true" indent="0" shrinkToFit="false"/>
      <protection locked="true" hidden="false"/>
    </xf>
    <xf numFmtId="164" fontId="10" fillId="0" borderId="17" xfId="0" applyFont="true" applyBorder="true" applyAlignment="true" applyProtection="false">
      <alignment horizontal="left" vertical="top" textRotation="0" wrapText="true" indent="0" shrinkToFit="false"/>
      <protection locked="true" hidden="false"/>
    </xf>
    <xf numFmtId="167" fontId="12" fillId="0" borderId="17" xfId="0" applyFont="true" applyBorder="true" applyAlignment="true" applyProtection="false">
      <alignment horizontal="center" vertical="top" textRotation="0" wrapText="true" indent="0" shrinkToFit="false"/>
      <protection locked="true" hidden="false"/>
    </xf>
    <xf numFmtId="164" fontId="0" fillId="0" borderId="17" xfId="0" applyFont="false" applyBorder="true" applyAlignment="true" applyProtection="false">
      <alignment horizontal="center" vertical="top" textRotation="0" wrapText="true" indent="0" shrinkToFit="false"/>
      <protection locked="true" hidden="false"/>
    </xf>
    <xf numFmtId="164" fontId="11" fillId="0" borderId="17" xfId="0" applyFont="true" applyBorder="true" applyAlignment="true" applyProtection="false">
      <alignment horizontal="center" vertical="top" textRotation="0" wrapText="true" indent="0" shrinkToFit="false"/>
      <protection locked="true" hidden="false"/>
    </xf>
    <xf numFmtId="164" fontId="0" fillId="0" borderId="17" xfId="0" applyFont="false" applyBorder="true" applyAlignment="true" applyProtection="false">
      <alignment horizontal="center" vertical="center" textRotation="0" wrapText="true" indent="0" shrinkToFit="false"/>
      <protection locked="true" hidden="false"/>
    </xf>
    <xf numFmtId="164" fontId="7" fillId="0" borderId="17" xfId="0" applyFont="true" applyBorder="true" applyAlignment="true" applyProtection="false">
      <alignment horizontal="center" vertical="top" textRotation="0" wrapText="true" indent="0" shrinkToFit="false"/>
      <protection locked="true" hidden="false"/>
    </xf>
    <xf numFmtId="164" fontId="0" fillId="0" borderId="17"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0" fillId="8" borderId="1" xfId="0" applyFont="true" applyBorder="true" applyAlignment="true" applyProtection="false">
      <alignment horizontal="center" vertical="center" textRotation="0" wrapText="true" indent="0" shrinkToFit="false"/>
      <protection locked="true" hidden="false"/>
    </xf>
    <xf numFmtId="164" fontId="0" fillId="8" borderId="18"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9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center" vertical="center" textRotation="0" wrapText="false" indent="0" shrinkToFit="false"/>
      <protection locked="true" hidden="false"/>
    </xf>
    <xf numFmtId="164" fontId="0" fillId="0" borderId="20" xfId="0" applyFont="false" applyBorder="true" applyAlignment="true" applyProtection="false">
      <alignment horizontal="center" vertical="center" textRotation="0" wrapText="false" indent="0" shrinkToFit="false"/>
      <protection locked="true" hidden="false"/>
    </xf>
    <xf numFmtId="168" fontId="0" fillId="9" borderId="1" xfId="0" applyFont="false" applyBorder="true" applyAlignment="true" applyProtection="false">
      <alignment horizontal="center" vertical="center" textRotation="0" wrapText="false" indent="0" shrinkToFit="false"/>
      <protection locked="true" hidden="false"/>
    </xf>
    <xf numFmtId="164" fontId="7" fillId="0" borderId="15" xfId="0" applyFont="true" applyBorder="true" applyAlignment="true" applyProtection="false">
      <alignment horizontal="center" vertical="center" textRotation="0" wrapText="false" indent="0" shrinkToFit="false"/>
      <protection locked="true" hidden="false"/>
    </xf>
    <xf numFmtId="164" fontId="7" fillId="0" borderId="19" xfId="0" applyFont="true" applyBorder="true" applyAlignment="true" applyProtection="false">
      <alignment horizontal="center" vertical="center" textRotation="0" wrapText="false" indent="0" shrinkToFit="false"/>
      <protection locked="true" hidden="false"/>
    </xf>
    <xf numFmtId="164" fontId="7" fillId="0" borderId="21" xfId="0" applyFont="true" applyBorder="true" applyAlignment="true" applyProtection="false">
      <alignment horizontal="center" vertical="center" textRotation="0" wrapText="false" indent="0" shrinkToFit="false"/>
      <protection locked="true" hidden="false"/>
    </xf>
    <xf numFmtId="164" fontId="7" fillId="0" borderId="16" xfId="0" applyFont="true" applyBorder="true" applyAlignment="true" applyProtection="false">
      <alignment horizontal="center" vertical="center" textRotation="0" wrapText="false" indent="0" shrinkToFit="false"/>
      <protection locked="true" hidden="false"/>
    </xf>
    <xf numFmtId="164" fontId="0" fillId="0" borderId="20" xfId="0" applyFont="false" applyBorder="true" applyAlignment="true" applyProtection="false">
      <alignment horizontal="center" vertical="center" textRotation="0" wrapText="true" indent="0" shrinkToFit="false"/>
      <protection locked="true" hidden="false"/>
    </xf>
    <xf numFmtId="168" fontId="0" fillId="9" borderId="1" xfId="0" applyFont="false" applyBorder="true" applyAlignment="true" applyProtection="false">
      <alignment horizontal="center" vertical="center" textRotation="0" wrapText="true" indent="0" shrinkToFit="false"/>
      <protection locked="true" hidden="false"/>
    </xf>
    <xf numFmtId="164" fontId="0" fillId="9" borderId="0" xfId="0" applyFont="false" applyBorder="false" applyAlignment="true" applyProtection="false">
      <alignment horizontal="center" vertical="center" textRotation="0" wrapText="false" indent="0" shrinkToFit="false"/>
      <protection locked="true" hidden="false"/>
    </xf>
    <xf numFmtId="164" fontId="0" fillId="10" borderId="0" xfId="0" applyFont="false" applyBorder="false" applyAlignment="true" applyProtection="false">
      <alignment horizontal="center" vertical="center" textRotation="0" wrapText="false" indent="0" shrinkToFit="false"/>
      <protection locked="true" hidden="false"/>
    </xf>
    <xf numFmtId="164" fontId="6" fillId="10" borderId="1" xfId="0" applyFont="true" applyBorder="true" applyAlignment="true" applyProtection="false">
      <alignment horizontal="center" vertical="center" textRotation="0" wrapText="false" indent="1" shrinkToFit="false"/>
      <protection locked="true" hidden="false"/>
    </xf>
    <xf numFmtId="168" fontId="0" fillId="10" borderId="1" xfId="0" applyFont="false" applyBorder="true" applyAlignment="true" applyProtection="false">
      <alignment horizontal="center" vertical="center"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11"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9CC2E5"/>
          <bgColor rgb="FF000000"/>
        </patternFill>
      </fill>
    </dxf>
    <dxf>
      <fill>
        <patternFill patternType="solid">
          <bgColor rgb="FF000000"/>
        </patternFill>
      </fill>
    </dxf>
    <dxf>
      <fill>
        <patternFill patternType="solid">
          <fgColor rgb="FFC8C8C8"/>
          <bgColor rgb="FF000000"/>
        </patternFill>
      </fill>
    </dxf>
    <dxf>
      <fill>
        <patternFill patternType="solid">
          <fgColor rgb="FFC4DFB3"/>
          <bgColor rgb="FF000000"/>
        </patternFill>
      </fill>
    </dxf>
    <dxf>
      <fill>
        <patternFill patternType="solid">
          <fgColor rgb="FF9DC3E6"/>
          <bgColor rgb="FF000000"/>
        </patternFill>
      </fill>
    </dxf>
    <dxf>
      <fill>
        <patternFill patternType="solid">
          <fgColor rgb="FF000000"/>
          <bgColor rgb="FF000000"/>
        </patternFill>
      </fill>
    </dxf>
    <dxf>
      <fill>
        <patternFill patternType="solid">
          <fgColor rgb="FFC5E0B4"/>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FAADC"/>
      <rgbColor rgb="FF993366"/>
      <rgbColor rgb="FFE7E6E6"/>
      <rgbColor rgb="FFDAE3F3"/>
      <rgbColor rgb="FF660066"/>
      <rgbColor rgb="FFC9C9C9"/>
      <rgbColor rgb="FF0563C1"/>
      <rgbColor rgb="FFD6DCE5"/>
      <rgbColor rgb="FF000080"/>
      <rgbColor rgb="FFFF00FF"/>
      <rgbColor rgb="FFFFFF00"/>
      <rgbColor rgb="FF00FFFF"/>
      <rgbColor rgb="FF800080"/>
      <rgbColor rgb="FF800000"/>
      <rgbColor rgb="FF008080"/>
      <rgbColor rgb="FF0000FF"/>
      <rgbColor rgb="FF00CCFF"/>
      <rgbColor rgb="FFD9D9D9"/>
      <rgbColor rgb="FFC5E0B4"/>
      <rgbColor rgb="FFFFE699"/>
      <rgbColor rgb="FF9DC3E6"/>
      <rgbColor rgb="FFC8C8C8"/>
      <rgbColor rgb="FFBEBEBE"/>
      <rgbColor rgb="FFFFD966"/>
      <rgbColor rgb="FF4472C4"/>
      <rgbColor rgb="FF33CCCC"/>
      <rgbColor rgb="FFC4DFB3"/>
      <rgbColor rgb="FFFFCC00"/>
      <rgbColor rgb="FFFF9900"/>
      <rgbColor rgb="FFED7D31"/>
      <rgbColor rgb="FF595959"/>
      <rgbColor rgb="FF9CC2E5"/>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IN" sz="1200" spc="-1" strike="noStrike">
                <a:solidFill>
                  <a:srgbClr val="404040"/>
                </a:solidFill>
                <a:latin typeface="Calibri Light"/>
              </a:defRPr>
            </a:pPr>
            <a:r>
              <a:rPr b="1" lang="en-IN" sz="1200" spc="-1" strike="noStrike">
                <a:solidFill>
                  <a:srgbClr val="404040"/>
                </a:solidFill>
                <a:latin typeface="Calibri Light"/>
              </a:rPr>
              <a:t>Sprint Velocity</a:t>
            </a:r>
          </a:p>
        </c:rich>
      </c:tx>
      <c:overlay val="0"/>
      <c:spPr>
        <a:noFill/>
        <a:ln w="0">
          <a:noFill/>
        </a:ln>
      </c:spPr>
    </c:title>
    <c:autoTitleDeleted val="0"/>
    <c:plotArea>
      <c:barChart>
        <c:barDir val="col"/>
        <c:grouping val="clustered"/>
        <c:varyColors val="0"/>
        <c:ser>
          <c:idx val="0"/>
          <c:order val="0"/>
          <c:tx>
            <c:strRef>
              <c:f>Main!$M$24</c:f>
              <c:strCache>
                <c:ptCount val="1"/>
                <c:pt idx="0">
                  <c:v>Story Points (Committed)</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Main!$I$25:$I$29</c:f>
              <c:strCache>
                <c:ptCount val="5"/>
                <c:pt idx="0">
                  <c:v>Spr. 1</c:v>
                </c:pt>
                <c:pt idx="1">
                  <c:v>Spr. 2</c:v>
                </c:pt>
                <c:pt idx="2">
                  <c:v>Spr. 3</c:v>
                </c:pt>
                <c:pt idx="3">
                  <c:v>Spr. 4</c:v>
                </c:pt>
                <c:pt idx="4">
                  <c:v>Buffer week</c:v>
                </c:pt>
              </c:strCache>
            </c:strRef>
          </c:cat>
          <c:val>
            <c:numRef>
              <c:f>Main!$M$25:$M$29</c:f>
              <c:numCache>
                <c:formatCode>General</c:formatCode>
                <c:ptCount val="5"/>
                <c:pt idx="0">
                  <c:v>50</c:v>
                </c:pt>
                <c:pt idx="1">
                  <c:v>28</c:v>
                </c:pt>
                <c:pt idx="2">
                  <c:v>47</c:v>
                </c:pt>
                <c:pt idx="3">
                  <c:v>37</c:v>
                </c:pt>
                <c:pt idx="4">
                  <c:v>0</c:v>
                </c:pt>
              </c:numCache>
            </c:numRef>
          </c:val>
        </c:ser>
        <c:ser>
          <c:idx val="1"/>
          <c:order val="1"/>
          <c:tx>
            <c:strRef>
              <c:f>Main!$N$24</c:f>
              <c:strCache>
                <c:ptCount val="1"/>
                <c:pt idx="0">
                  <c:v>Story Points (Delivered)</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Main!$I$25:$I$29</c:f>
              <c:strCache>
                <c:ptCount val="5"/>
                <c:pt idx="0">
                  <c:v>Spr. 1</c:v>
                </c:pt>
                <c:pt idx="1">
                  <c:v>Spr. 2</c:v>
                </c:pt>
                <c:pt idx="2">
                  <c:v>Spr. 3</c:v>
                </c:pt>
                <c:pt idx="3">
                  <c:v>Spr. 4</c:v>
                </c:pt>
                <c:pt idx="4">
                  <c:v>Buffer week</c:v>
                </c:pt>
              </c:strCache>
            </c:strRef>
          </c:cat>
          <c:val>
            <c:numRef>
              <c:f>Main!$N$25:$N$29</c:f>
              <c:numCache>
                <c:formatCode>General</c:formatCode>
                <c:ptCount val="5"/>
              </c:numCache>
            </c:numRef>
          </c:val>
        </c:ser>
        <c:gapWidth val="219"/>
        <c:overlap val="-27"/>
        <c:axId val="6536259"/>
        <c:axId val="37157660"/>
      </c:barChart>
      <c:catAx>
        <c:axId val="653625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7157660"/>
        <c:crosses val="autoZero"/>
        <c:auto val="1"/>
        <c:lblAlgn val="ctr"/>
        <c:lblOffset val="100"/>
        <c:noMultiLvlLbl val="0"/>
      </c:catAx>
      <c:valAx>
        <c:axId val="3715766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653625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IN" sz="1200" spc="-1" strike="noStrike">
                <a:solidFill>
                  <a:srgbClr val="808080"/>
                </a:solidFill>
                <a:latin typeface="Calibri Light"/>
              </a:defRPr>
            </a:pPr>
            <a:r>
              <a:rPr b="1" lang="en-IN" sz="1200" spc="-1" strike="noStrike">
                <a:solidFill>
                  <a:srgbClr val="808080"/>
                </a:solidFill>
                <a:latin typeface="Calibri Light"/>
              </a:rPr>
              <a:t>Burn Down Chart</a:t>
            </a:r>
          </a:p>
        </c:rich>
      </c:tx>
      <c:overlay val="0"/>
      <c:spPr>
        <a:noFill/>
        <a:ln w="0">
          <a:noFill/>
        </a:ln>
      </c:spPr>
    </c:title>
    <c:autoTitleDeleted val="0"/>
    <c:plotArea>
      <c:lineChart>
        <c:grouping val="standard"/>
        <c:varyColors val="0"/>
        <c:ser>
          <c:idx val="0"/>
          <c:order val="0"/>
          <c:spPr>
            <a:solidFill>
              <a:srgbClr val="4472c4"/>
            </a:solidFill>
            <a:ln cap="rnd" w="22320">
              <a:solidFill>
                <a:srgbClr val="4472c4"/>
              </a:solidFill>
              <a:round/>
            </a:ln>
          </c:spPr>
          <c:marker>
            <c:symbol val="none"/>
          </c:marker>
          <c:dLbls>
            <c:numFmt formatCode="General"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Tracker!$K$7:$T$7</c:f>
              <c:strCache>
                <c:ptCount val="10"/>
                <c:pt idx="0">
                  <c:v>Day 1</c:v>
                </c:pt>
                <c:pt idx="1">
                  <c:v>Day 2</c:v>
                </c:pt>
                <c:pt idx="2">
                  <c:v>Day 3</c:v>
                </c:pt>
                <c:pt idx="3">
                  <c:v>Day 4</c:v>
                </c:pt>
                <c:pt idx="4">
                  <c:v>Day 5</c:v>
                </c:pt>
                <c:pt idx="5">
                  <c:v>Day 6</c:v>
                </c:pt>
                <c:pt idx="6">
                  <c:v>Day 7</c:v>
                </c:pt>
                <c:pt idx="7">
                  <c:v>Day 8</c:v>
                </c:pt>
                <c:pt idx="8">
                  <c:v>Day 9</c:v>
                </c:pt>
                <c:pt idx="9">
                  <c:v>Day 10</c:v>
                </c:pt>
              </c:strCache>
            </c:strRef>
          </c:cat>
          <c:val>
            <c:numRef>
              <c:f>Tracker!$J$40:$S$40</c:f>
              <c:numCache>
                <c:formatCode>General</c:formatCode>
                <c:ptCount val="10"/>
                <c:pt idx="0">
                  <c:v>56</c:v>
                </c:pt>
                <c:pt idx="1">
                  <c:v>56</c:v>
                </c:pt>
                <c:pt idx="2">
                  <c:v>50</c:v>
                </c:pt>
                <c:pt idx="3">
                  <c:v>48</c:v>
                </c:pt>
                <c:pt idx="4">
                  <c:v>44</c:v>
                </c:pt>
                <c:pt idx="5">
                  <c:v>44</c:v>
                </c:pt>
                <c:pt idx="6">
                  <c:v>38</c:v>
                </c:pt>
                <c:pt idx="7">
                  <c:v>33</c:v>
                </c:pt>
                <c:pt idx="8">
                  <c:v>31</c:v>
                </c:pt>
                <c:pt idx="9">
                  <c:v>29</c:v>
                </c:pt>
              </c:numCache>
            </c:numRef>
          </c:val>
          <c:smooth val="0"/>
        </c:ser>
        <c:hiLowLines>
          <c:spPr>
            <a:ln w="0">
              <a:noFill/>
            </a:ln>
          </c:spPr>
        </c:hiLowLines>
        <c:marker val="0"/>
        <c:axId val="16011926"/>
        <c:axId val="89940339"/>
      </c:lineChart>
      <c:catAx>
        <c:axId val="16011926"/>
        <c:scaling>
          <c:orientation val="minMax"/>
        </c:scaling>
        <c:delete val="0"/>
        <c:axPos val="b"/>
        <c:majorGridlines>
          <c:spPr>
            <a:ln w="9360">
              <a:solidFill>
                <a:srgbClr val="d9d9d9"/>
              </a:solidFill>
              <a:round/>
            </a:ln>
          </c:spPr>
        </c:majorGridlines>
        <c:minorGridlines>
          <c:spPr>
            <a:ln w="9360">
              <a:solidFill>
                <a:srgbClr val="d9d9d9"/>
              </a:solidFill>
              <a:round/>
            </a:ln>
          </c:spPr>
        </c:minorGridlines>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9940339"/>
        <c:crosses val="autoZero"/>
        <c:auto val="1"/>
        <c:lblAlgn val="ctr"/>
        <c:lblOffset val="100"/>
        <c:noMultiLvlLbl val="0"/>
      </c:catAx>
      <c:valAx>
        <c:axId val="8994033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160119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IN" sz="1200" spc="-1" strike="noStrike">
                <a:solidFill>
                  <a:srgbClr val="808080"/>
                </a:solidFill>
                <a:latin typeface="Calibri Light"/>
              </a:defRPr>
            </a:pPr>
            <a:r>
              <a:rPr b="1" lang="en-IN" sz="1200" spc="-1" strike="noStrike">
                <a:solidFill>
                  <a:srgbClr val="808080"/>
                </a:solidFill>
                <a:latin typeface="Calibri Light"/>
              </a:rPr>
              <a:t>Burn Up Chart</a:t>
            </a:r>
          </a:p>
        </c:rich>
      </c:tx>
      <c:overlay val="0"/>
      <c:spPr>
        <a:noFill/>
        <a:ln w="0">
          <a:noFill/>
        </a:ln>
      </c:spPr>
    </c:title>
    <c:autoTitleDeleted val="0"/>
    <c:plotArea>
      <c:lineChart>
        <c:grouping val="standard"/>
        <c:varyColors val="0"/>
        <c:ser>
          <c:idx val="0"/>
          <c:order val="0"/>
          <c:spPr>
            <a:solidFill>
              <a:srgbClr val="4472c4"/>
            </a:solidFill>
            <a:ln cap="rnd" w="22320">
              <a:solidFill>
                <a:srgbClr val="4472c4"/>
              </a:solidFill>
              <a:round/>
            </a:ln>
          </c:spPr>
          <c:marker>
            <c:symbol val="none"/>
          </c:marker>
          <c:dLbls>
            <c:numFmt formatCode="General"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Tracker!$K$7:$T$7</c:f>
              <c:strCache>
                <c:ptCount val="10"/>
                <c:pt idx="0">
                  <c:v>Day 1</c:v>
                </c:pt>
                <c:pt idx="1">
                  <c:v>Day 2</c:v>
                </c:pt>
                <c:pt idx="2">
                  <c:v>Day 3</c:v>
                </c:pt>
                <c:pt idx="3">
                  <c:v>Day 4</c:v>
                </c:pt>
                <c:pt idx="4">
                  <c:v>Day 5</c:v>
                </c:pt>
                <c:pt idx="5">
                  <c:v>Day 6</c:v>
                </c:pt>
                <c:pt idx="6">
                  <c:v>Day 7</c:v>
                </c:pt>
                <c:pt idx="7">
                  <c:v>Day 8</c:v>
                </c:pt>
                <c:pt idx="8">
                  <c:v>Day 9</c:v>
                </c:pt>
                <c:pt idx="9">
                  <c:v>Day 10</c:v>
                </c:pt>
              </c:strCache>
            </c:strRef>
          </c:cat>
          <c:val>
            <c:numRef>
              <c:f>Tracker!$J$41:$S$41</c:f>
              <c:numCache>
                <c:formatCode>General</c:formatCode>
                <c:ptCount val="10"/>
                <c:pt idx="0">
                  <c:v>22</c:v>
                </c:pt>
                <c:pt idx="1">
                  <c:v>22</c:v>
                </c:pt>
                <c:pt idx="2">
                  <c:v>28</c:v>
                </c:pt>
                <c:pt idx="3">
                  <c:v>30</c:v>
                </c:pt>
                <c:pt idx="4">
                  <c:v>34</c:v>
                </c:pt>
                <c:pt idx="5">
                  <c:v>34</c:v>
                </c:pt>
                <c:pt idx="6">
                  <c:v>40</c:v>
                </c:pt>
                <c:pt idx="7">
                  <c:v>45</c:v>
                </c:pt>
                <c:pt idx="8">
                  <c:v>47</c:v>
                </c:pt>
                <c:pt idx="9">
                  <c:v>49</c:v>
                </c:pt>
              </c:numCache>
            </c:numRef>
          </c:val>
          <c:smooth val="0"/>
        </c:ser>
        <c:hiLowLines>
          <c:spPr>
            <a:ln w="0">
              <a:noFill/>
            </a:ln>
          </c:spPr>
        </c:hiLowLines>
        <c:marker val="0"/>
        <c:axId val="31829936"/>
        <c:axId val="22774503"/>
      </c:lineChart>
      <c:catAx>
        <c:axId val="31829936"/>
        <c:scaling>
          <c:orientation val="minMax"/>
        </c:scaling>
        <c:delete val="0"/>
        <c:axPos val="b"/>
        <c:majorGridlines>
          <c:spPr>
            <a:ln w="9360">
              <a:solidFill>
                <a:srgbClr val="d9d9d9"/>
              </a:solidFill>
              <a:round/>
            </a:ln>
          </c:spPr>
        </c:majorGridlines>
        <c:minorGridlines>
          <c:spPr>
            <a:ln w="9360">
              <a:solidFill>
                <a:srgbClr val="d9d9d9"/>
              </a:solidFill>
              <a:round/>
            </a:ln>
          </c:spPr>
        </c:minorGridlines>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2774503"/>
        <c:crosses val="autoZero"/>
        <c:auto val="1"/>
        <c:lblAlgn val="ctr"/>
        <c:lblOffset val="100"/>
        <c:noMultiLvlLbl val="0"/>
      </c:catAx>
      <c:valAx>
        <c:axId val="2277450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318299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981000</xdr:colOff>
      <xdr:row>0</xdr:row>
      <xdr:rowOff>9360</xdr:rowOff>
    </xdr:from>
    <xdr:to>
      <xdr:col>14</xdr:col>
      <xdr:colOff>2017800</xdr:colOff>
      <xdr:row>6</xdr:row>
      <xdr:rowOff>112680</xdr:rowOff>
    </xdr:to>
    <xdr:pic>
      <xdr:nvPicPr>
        <xdr:cNvPr id="0" name="Picture 2" descr="Image result for techformist"/>
        <xdr:cNvPicPr/>
      </xdr:nvPicPr>
      <xdr:blipFill>
        <a:blip r:embed="rId1"/>
        <a:stretch/>
      </xdr:blipFill>
      <xdr:spPr>
        <a:xfrm>
          <a:off x="18924840" y="9360"/>
          <a:ext cx="1036800" cy="10270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47520</xdr:colOff>
      <xdr:row>7</xdr:row>
      <xdr:rowOff>123840</xdr:rowOff>
    </xdr:from>
    <xdr:to>
      <xdr:col>9</xdr:col>
      <xdr:colOff>27000</xdr:colOff>
      <xdr:row>25</xdr:row>
      <xdr:rowOff>103320</xdr:rowOff>
    </xdr:to>
    <xdr:graphicFrame>
      <xdr:nvGraphicFramePr>
        <xdr:cNvPr id="1" name="Chart 1"/>
        <xdr:cNvGraphicFramePr/>
      </xdr:nvGraphicFramePr>
      <xdr:xfrm>
        <a:off x="414000" y="1324080"/>
        <a:ext cx="4465080" cy="2894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19080</xdr:colOff>
      <xdr:row>30</xdr:row>
      <xdr:rowOff>114120</xdr:rowOff>
    </xdr:from>
    <xdr:to>
      <xdr:col>9</xdr:col>
      <xdr:colOff>37800</xdr:colOff>
      <xdr:row>50</xdr:row>
      <xdr:rowOff>7920</xdr:rowOff>
    </xdr:to>
    <xdr:graphicFrame>
      <xdr:nvGraphicFramePr>
        <xdr:cNvPr id="2" name="Chart 2"/>
        <xdr:cNvGraphicFramePr/>
      </xdr:nvGraphicFramePr>
      <xdr:xfrm>
        <a:off x="385560" y="5038560"/>
        <a:ext cx="4504320" cy="3132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29880</xdr:colOff>
      <xdr:row>30</xdr:row>
      <xdr:rowOff>85680</xdr:rowOff>
    </xdr:from>
    <xdr:to>
      <xdr:col>17</xdr:col>
      <xdr:colOff>560520</xdr:colOff>
      <xdr:row>49</xdr:row>
      <xdr:rowOff>141480</xdr:rowOff>
    </xdr:to>
    <xdr:graphicFrame>
      <xdr:nvGraphicFramePr>
        <xdr:cNvPr id="3" name="Chart 3"/>
        <xdr:cNvGraphicFramePr/>
      </xdr:nvGraphicFramePr>
      <xdr:xfrm>
        <a:off x="5442480" y="5010120"/>
        <a:ext cx="4455720" cy="31323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hyperlink" Target="https://www.scrumalliance.org/community/articles/2007/march/glossary-of-scrum-terms" TargetMode="External"/><Relationship Id="rId2" Type="http://schemas.openxmlformats.org/officeDocument/2006/relationships/hyperlink" Target="https://www.scrumalliance.org/community/articles/2007/" TargetMode="External"/><Relationship Id="rId3" Type="http://schemas.openxmlformats.org/officeDocument/2006/relationships/hyperlink" Target="https://www.figma.com/make/bkBYzmTVkSLdKEk4ctR9Jw/Document-Tracking-System?t=UW0vMv0lCwRQjHGk-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E0B4"/>
    <pageSetUpPr fitToPage="true"/>
  </sheetPr>
  <dimension ref="B5:O41"/>
  <sheetViews>
    <sheetView showFormulas="false" showGridLines="false" showRowColHeaders="true" showZeros="true" rightToLeft="false" tabSelected="false" showOutlineSymbols="true" defaultGridColor="true" view="normal" topLeftCell="C25" colorId="64" zoomScale="100" zoomScaleNormal="100" zoomScalePageLayoutView="100" workbookViewId="0">
      <selection pane="topLeft" activeCell="O26" activeCellId="0" sqref="O26"/>
    </sheetView>
  </sheetViews>
  <sheetFormatPr defaultColWidth="8.74609375" defaultRowHeight="12.75" zeroHeight="false" outlineLevelRow="0" outlineLevelCol="0"/>
  <cols>
    <col collapsed="false" customWidth="true" hidden="false" outlineLevel="0" max="1" min="1" style="1" width="5.14"/>
    <col collapsed="false" customWidth="true" hidden="false" outlineLevel="0" max="2" min="2" style="1" width="15"/>
    <col collapsed="false" customWidth="true" hidden="false" outlineLevel="0" max="3" min="3" style="1" width="42"/>
    <col collapsed="false" customWidth="true" hidden="false" outlineLevel="0" max="4" min="4" style="1" width="15.58"/>
    <col collapsed="false" customWidth="true" hidden="false" outlineLevel="0" max="5" min="5" style="1" width="17.29"/>
    <col collapsed="false" customWidth="true" hidden="false" outlineLevel="0" max="6" min="6" style="1" width="48"/>
    <col collapsed="false" customWidth="true" hidden="false" outlineLevel="0" max="7" min="7" style="1" width="55"/>
    <col collapsed="false" customWidth="true" hidden="false" outlineLevel="0" max="11" min="10" style="1" width="12.71"/>
    <col collapsed="false" customWidth="true" hidden="false" outlineLevel="0" max="12" min="12" style="1" width="13.71"/>
    <col collapsed="false" customWidth="true" hidden="false" outlineLevel="0" max="14" min="13" style="1" width="12.57"/>
    <col collapsed="false" customWidth="true" hidden="false" outlineLevel="0" max="15" min="15" style="1" width="31.85"/>
  </cols>
  <sheetData>
    <row r="5" customFormat="false" ht="18" hidden="false" customHeight="true" outlineLevel="0" collapsed="false">
      <c r="B5" s="2" t="s">
        <v>0</v>
      </c>
    </row>
    <row r="6" customFormat="false" ht="3.75" hidden="false" customHeight="true" outlineLevel="0" collapsed="false"/>
    <row r="7" customFormat="false" ht="46.5" hidden="false" customHeight="true" outlineLevel="0" collapsed="false">
      <c r="B7" s="3" t="s">
        <v>1</v>
      </c>
      <c r="C7" s="4" t="s">
        <v>2</v>
      </c>
      <c r="E7" s="3" t="s">
        <v>3</v>
      </c>
      <c r="F7" s="4" t="s">
        <v>4</v>
      </c>
    </row>
    <row r="8" customFormat="false" ht="15" hidden="false" customHeight="true" outlineLevel="0" collapsed="false">
      <c r="B8" s="3" t="s">
        <v>5</v>
      </c>
      <c r="C8" s="4" t="s">
        <v>6</v>
      </c>
      <c r="E8" s="3" t="s">
        <v>7</v>
      </c>
      <c r="F8" s="4" t="s">
        <v>8</v>
      </c>
    </row>
    <row r="9" customFormat="false" ht="12.75" hidden="false" customHeight="true" outlineLevel="0" collapsed="false">
      <c r="E9" s="5"/>
    </row>
    <row r="10" customFormat="false" ht="15" hidden="false" customHeight="true" outlineLevel="0" collapsed="false">
      <c r="B10" s="6" t="s">
        <v>9</v>
      </c>
      <c r="C10" s="7"/>
      <c r="E10" s="5"/>
    </row>
    <row r="11" customFormat="false" ht="53.25" hidden="false" customHeight="true" outlineLevel="0" collapsed="false">
      <c r="B11" s="8" t="s">
        <v>10</v>
      </c>
      <c r="C11" s="4" t="s">
        <v>11</v>
      </c>
      <c r="E11" s="9" t="s">
        <v>12</v>
      </c>
      <c r="F11" s="10" t="s">
        <v>13</v>
      </c>
      <c r="G11" s="11"/>
    </row>
    <row r="12" customFormat="false" ht="12.75" hidden="false" customHeight="true" outlineLevel="0" collapsed="false">
      <c r="B12" s="8" t="s">
        <v>14</v>
      </c>
      <c r="C12" s="4" t="s">
        <v>15</v>
      </c>
      <c r="E12" s="12" t="s">
        <v>16</v>
      </c>
      <c r="F12" s="13" t="s">
        <v>17</v>
      </c>
      <c r="L12" s="14"/>
    </row>
    <row r="13" customFormat="false" ht="12.75" hidden="false" customHeight="true" outlineLevel="0" collapsed="false">
      <c r="C13" s="15" t="s">
        <v>18</v>
      </c>
      <c r="E13" s="12" t="s">
        <v>19</v>
      </c>
      <c r="F13" s="13" t="s">
        <v>20</v>
      </c>
    </row>
    <row r="14" customFormat="false" ht="12.75" hidden="false" customHeight="true" outlineLevel="0" collapsed="false">
      <c r="C14" s="16" t="s">
        <v>21</v>
      </c>
      <c r="D14" s="14"/>
      <c r="E14" s="17"/>
      <c r="F14" s="18" t="s">
        <v>22</v>
      </c>
    </row>
    <row r="15" customFormat="false" ht="12.75" hidden="false" customHeight="true" outlineLevel="0" collapsed="false">
      <c r="C15" s="15"/>
      <c r="F15" s="19" t="s">
        <v>23</v>
      </c>
      <c r="G15" s="14"/>
    </row>
    <row r="16" customFormat="false" ht="12.75" hidden="false" customHeight="true" outlineLevel="0" collapsed="false">
      <c r="C16" s="15"/>
      <c r="F16" s="20" t="s">
        <v>24</v>
      </c>
    </row>
    <row r="17" customFormat="false" ht="12.75" hidden="false" customHeight="true" outlineLevel="0" collapsed="false">
      <c r="C17" s="15"/>
      <c r="F17" s="21" t="s">
        <v>25</v>
      </c>
    </row>
    <row r="18" customFormat="false" ht="12.75" hidden="false" customHeight="true" outlineLevel="0" collapsed="false">
      <c r="C18" s="15"/>
      <c r="F18" s="22" t="s">
        <v>26</v>
      </c>
    </row>
    <row r="19" customFormat="false" ht="12.75" hidden="false" customHeight="true" outlineLevel="0" collapsed="false">
      <c r="F19" s="23" t="s">
        <v>27</v>
      </c>
    </row>
    <row r="20" customFormat="false" ht="12.75" hidden="false" customHeight="true" outlineLevel="0" collapsed="false">
      <c r="F20" s="24" t="s">
        <v>28</v>
      </c>
    </row>
    <row r="21" customFormat="false" ht="12.75" hidden="false" customHeight="true" outlineLevel="0" collapsed="false"/>
    <row r="22" customFormat="false" ht="14.25" hidden="false" customHeight="true" outlineLevel="0" collapsed="false">
      <c r="B22" s="25"/>
    </row>
    <row r="23" customFormat="false" ht="14.25" hidden="false" customHeight="true" outlineLevel="0" collapsed="false">
      <c r="B23" s="25" t="s">
        <v>29</v>
      </c>
      <c r="I23" s="25" t="s">
        <v>30</v>
      </c>
      <c r="K23" s="26" t="s">
        <v>31</v>
      </c>
    </row>
    <row r="24" s="27" customFormat="true" ht="25.5" hidden="false" customHeight="true" outlineLevel="0" collapsed="false">
      <c r="B24" s="28" t="s">
        <v>32</v>
      </c>
      <c r="C24" s="28" t="s">
        <v>33</v>
      </c>
      <c r="D24" s="28" t="s">
        <v>34</v>
      </c>
      <c r="E24" s="28" t="s">
        <v>35</v>
      </c>
      <c r="F24" s="28" t="s">
        <v>36</v>
      </c>
      <c r="G24" s="28" t="s">
        <v>37</v>
      </c>
      <c r="H24" s="29"/>
      <c r="I24" s="30" t="s">
        <v>38</v>
      </c>
      <c r="J24" s="30" t="s">
        <v>34</v>
      </c>
      <c r="K24" s="30" t="s">
        <v>35</v>
      </c>
      <c r="L24" s="30" t="s">
        <v>36</v>
      </c>
      <c r="M24" s="30" t="s">
        <v>39</v>
      </c>
      <c r="N24" s="30" t="s">
        <v>40</v>
      </c>
      <c r="O24" s="30" t="s">
        <v>37</v>
      </c>
    </row>
    <row r="25" customFormat="false" ht="54.75" hidden="false" customHeight="true" outlineLevel="0" collapsed="false">
      <c r="B25" s="31" t="n">
        <v>1</v>
      </c>
      <c r="C25" s="4" t="s">
        <v>41</v>
      </c>
      <c r="D25" s="32" t="n">
        <v>46258</v>
      </c>
      <c r="E25" s="32" t="n">
        <f aca="false">K29</f>
        <v>46353</v>
      </c>
      <c r="F25" s="4" t="s">
        <v>42</v>
      </c>
      <c r="G25" s="4" t="s">
        <v>43</v>
      </c>
      <c r="I25" s="33" t="s">
        <v>44</v>
      </c>
      <c r="J25" s="34" t="n">
        <v>46286</v>
      </c>
      <c r="K25" s="34" t="n">
        <f aca="false">J25+11</f>
        <v>46297</v>
      </c>
      <c r="L25" s="31" t="s">
        <v>45</v>
      </c>
      <c r="M25" s="31" t="n">
        <v>50</v>
      </c>
      <c r="N25" s="35"/>
      <c r="O25" s="4" t="s">
        <v>46</v>
      </c>
    </row>
    <row r="26" customFormat="false" ht="54.75" hidden="false" customHeight="true" outlineLevel="0" collapsed="false">
      <c r="B26" s="15"/>
      <c r="C26" s="15"/>
      <c r="D26" s="35"/>
      <c r="E26" s="35"/>
      <c r="F26" s="35"/>
      <c r="G26" s="36"/>
      <c r="I26" s="33" t="s">
        <v>47</v>
      </c>
      <c r="J26" s="34" t="n">
        <f aca="false">K25+3</f>
        <v>46300</v>
      </c>
      <c r="K26" s="34" t="n">
        <f aca="false">J26+11</f>
        <v>46311</v>
      </c>
      <c r="L26" s="31" t="s">
        <v>45</v>
      </c>
      <c r="M26" s="31" t="n">
        <v>28</v>
      </c>
      <c r="N26" s="35"/>
      <c r="O26" s="4" t="s">
        <v>48</v>
      </c>
    </row>
    <row r="27" customFormat="false" ht="54.75" hidden="false" customHeight="true" outlineLevel="0" collapsed="false">
      <c r="B27" s="15"/>
      <c r="C27" s="15"/>
      <c r="D27" s="35"/>
      <c r="E27" s="35"/>
      <c r="F27" s="35"/>
      <c r="G27" s="36"/>
      <c r="I27" s="33" t="s">
        <v>49</v>
      </c>
      <c r="J27" s="34" t="n">
        <f aca="false">K26+3</f>
        <v>46314</v>
      </c>
      <c r="K27" s="34" t="n">
        <f aca="false">J27+11</f>
        <v>46325</v>
      </c>
      <c r="L27" s="31" t="s">
        <v>45</v>
      </c>
      <c r="M27" s="31" t="n">
        <v>47</v>
      </c>
      <c r="N27" s="35"/>
      <c r="O27" s="4" t="s">
        <v>50</v>
      </c>
    </row>
    <row r="28" customFormat="false" ht="54.75" hidden="false" customHeight="true" outlineLevel="0" collapsed="false">
      <c r="B28" s="15"/>
      <c r="C28" s="15"/>
      <c r="D28" s="35"/>
      <c r="E28" s="35"/>
      <c r="F28" s="35"/>
      <c r="G28" s="36"/>
      <c r="I28" s="33" t="s">
        <v>51</v>
      </c>
      <c r="J28" s="34" t="n">
        <f aca="false">K27+3</f>
        <v>46328</v>
      </c>
      <c r="K28" s="34" t="n">
        <f aca="false">J28+11</f>
        <v>46339</v>
      </c>
      <c r="L28" s="31" t="s">
        <v>45</v>
      </c>
      <c r="M28" s="31" t="n">
        <v>37</v>
      </c>
      <c r="N28" s="35"/>
      <c r="O28" s="37" t="s">
        <v>52</v>
      </c>
    </row>
    <row r="29" customFormat="false" ht="54.75" hidden="false" customHeight="true" outlineLevel="0" collapsed="false">
      <c r="B29" s="15"/>
      <c r="C29" s="15"/>
      <c r="D29" s="35"/>
      <c r="E29" s="35"/>
      <c r="F29" s="35"/>
      <c r="G29" s="36"/>
      <c r="I29" s="38" t="s">
        <v>53</v>
      </c>
      <c r="J29" s="34" t="n">
        <f aca="false">K28+3</f>
        <v>46342</v>
      </c>
      <c r="K29" s="34" t="n">
        <f aca="false">J29+11</f>
        <v>46353</v>
      </c>
      <c r="L29" s="31" t="s">
        <v>45</v>
      </c>
      <c r="M29" s="31" t="n">
        <v>0</v>
      </c>
      <c r="N29" s="35"/>
      <c r="O29" s="4" t="s">
        <v>54</v>
      </c>
    </row>
    <row r="30" customFormat="false" ht="12.75" hidden="false" customHeight="true" outlineLevel="0" collapsed="false">
      <c r="B30" s="15"/>
      <c r="C30" s="15"/>
      <c r="D30" s="35"/>
      <c r="E30" s="35"/>
      <c r="F30" s="35"/>
      <c r="G30" s="36"/>
      <c r="I30" s="15"/>
      <c r="J30" s="39"/>
      <c r="K30" s="39"/>
      <c r="L30" s="35"/>
      <c r="M30" s="35"/>
      <c r="N30" s="35"/>
      <c r="O30" s="35"/>
    </row>
    <row r="31" customFormat="false" ht="12.75" hidden="false" customHeight="true" outlineLevel="0" collapsed="false">
      <c r="B31" s="15"/>
      <c r="C31" s="15"/>
      <c r="D31" s="35"/>
      <c r="E31" s="35"/>
      <c r="F31" s="35"/>
      <c r="G31" s="36"/>
      <c r="I31" s="15"/>
      <c r="J31" s="39"/>
      <c r="K31" s="39"/>
      <c r="L31" s="35"/>
      <c r="M31" s="35"/>
      <c r="N31" s="35"/>
      <c r="O31" s="35"/>
    </row>
    <row r="32" customFormat="false" ht="12.75" hidden="false" customHeight="true" outlineLevel="0" collapsed="false">
      <c r="B32" s="15"/>
      <c r="C32" s="15"/>
      <c r="D32" s="35"/>
      <c r="E32" s="35"/>
      <c r="F32" s="35"/>
      <c r="G32" s="36"/>
      <c r="I32" s="15"/>
      <c r="J32" s="39"/>
      <c r="K32" s="39"/>
      <c r="L32" s="35"/>
      <c r="M32" s="35"/>
      <c r="N32" s="35"/>
      <c r="O32" s="35"/>
    </row>
    <row r="33" customFormat="false" ht="12.75" hidden="false" customHeight="true" outlineLevel="0" collapsed="false">
      <c r="B33" s="15"/>
      <c r="C33" s="15"/>
      <c r="D33" s="35"/>
      <c r="E33" s="35"/>
      <c r="F33" s="35"/>
      <c r="G33" s="36"/>
      <c r="I33" s="15"/>
      <c r="J33" s="39"/>
      <c r="K33" s="39"/>
      <c r="L33" s="35"/>
      <c r="M33" s="35"/>
      <c r="N33" s="35"/>
      <c r="O33" s="35"/>
    </row>
    <row r="34" customFormat="false" ht="12.75" hidden="false" customHeight="true" outlineLevel="0" collapsed="false">
      <c r="B34" s="15"/>
      <c r="C34" s="15"/>
      <c r="D34" s="35"/>
      <c r="E34" s="35"/>
      <c r="F34" s="35"/>
      <c r="G34" s="36"/>
      <c r="I34" s="15"/>
      <c r="J34" s="39"/>
      <c r="K34" s="39"/>
      <c r="L34" s="35"/>
      <c r="M34" s="35"/>
      <c r="N34" s="35"/>
      <c r="O34" s="35"/>
    </row>
    <row r="35" customFormat="false" ht="12.75" hidden="false" customHeight="true" outlineLevel="0" collapsed="false">
      <c r="B35" s="15"/>
      <c r="C35" s="15"/>
      <c r="D35" s="35"/>
      <c r="E35" s="35"/>
      <c r="F35" s="35"/>
      <c r="G35" s="36"/>
      <c r="I35" s="15"/>
      <c r="J35" s="39"/>
      <c r="K35" s="39"/>
      <c r="L35" s="35"/>
      <c r="M35" s="35"/>
      <c r="N35" s="35"/>
      <c r="O35" s="35"/>
    </row>
    <row r="36" customFormat="false" ht="12.75" hidden="false" customHeight="true" outlineLevel="0" collapsed="false">
      <c r="B36" s="15"/>
      <c r="C36" s="15"/>
      <c r="D36" s="35"/>
      <c r="E36" s="35"/>
      <c r="F36" s="35"/>
      <c r="G36" s="36"/>
      <c r="I36" s="15"/>
      <c r="J36" s="39"/>
      <c r="K36" s="39"/>
      <c r="L36" s="35"/>
      <c r="M36" s="35"/>
      <c r="N36" s="35"/>
      <c r="O36" s="35"/>
    </row>
    <row r="37" customFormat="false" ht="12.75" hidden="false" customHeight="true" outlineLevel="0" collapsed="false">
      <c r="B37" s="15"/>
      <c r="C37" s="15"/>
      <c r="D37" s="35"/>
      <c r="E37" s="35"/>
      <c r="F37" s="35"/>
      <c r="G37" s="36"/>
      <c r="I37" s="15"/>
      <c r="J37" s="39"/>
      <c r="K37" s="39"/>
      <c r="L37" s="35"/>
      <c r="M37" s="35"/>
      <c r="N37" s="35"/>
      <c r="O37" s="35"/>
    </row>
    <row r="38" customFormat="false" ht="12.75" hidden="false" customHeight="true" outlineLevel="0" collapsed="false">
      <c r="B38" s="15"/>
      <c r="C38" s="15"/>
      <c r="D38" s="35"/>
      <c r="E38" s="35"/>
      <c r="F38" s="35"/>
      <c r="G38" s="36"/>
      <c r="I38" s="15"/>
      <c r="J38" s="39"/>
      <c r="K38" s="39"/>
      <c r="L38" s="35"/>
      <c r="M38" s="35"/>
      <c r="N38" s="35"/>
      <c r="O38" s="35"/>
    </row>
    <row r="39" customFormat="false" ht="12.75" hidden="false" customHeight="true" outlineLevel="0" collapsed="false">
      <c r="B39" s="15"/>
      <c r="C39" s="15"/>
      <c r="D39" s="15"/>
      <c r="E39" s="15"/>
      <c r="F39" s="35"/>
      <c r="G39" s="36"/>
      <c r="I39" s="15"/>
      <c r="J39" s="39"/>
      <c r="K39" s="39"/>
      <c r="L39" s="35"/>
      <c r="M39" s="35"/>
      <c r="N39" s="35"/>
      <c r="O39" s="35"/>
    </row>
    <row r="40" customFormat="false" ht="12.75" hidden="false" customHeight="true" outlineLevel="0" collapsed="false">
      <c r="B40" s="15"/>
      <c r="C40" s="15"/>
      <c r="D40" s="15"/>
      <c r="E40" s="15"/>
      <c r="F40" s="35"/>
      <c r="G40" s="36"/>
      <c r="I40" s="15"/>
      <c r="J40" s="39"/>
      <c r="K40" s="39"/>
      <c r="L40" s="35"/>
      <c r="M40" s="35"/>
      <c r="N40" s="35"/>
      <c r="O40" s="35"/>
    </row>
    <row r="41" customFormat="false" ht="12.75" hidden="false" customHeight="true" outlineLevel="0" collapsed="false">
      <c r="G41" s="40"/>
    </row>
  </sheetData>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C3E6"/>
    <pageSetUpPr fitToPage="true"/>
  </sheetPr>
  <dimension ref="B5:S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N10" activeCellId="0" sqref="N10"/>
    </sheetView>
  </sheetViews>
  <sheetFormatPr defaultColWidth="8.74609375" defaultRowHeight="15" zeroHeight="false" outlineLevelRow="0" outlineLevelCol="0"/>
  <cols>
    <col collapsed="false" customWidth="true" hidden="false" outlineLevel="0" max="1" min="1" style="1" width="3.14"/>
    <col collapsed="false" customWidth="true" hidden="false" outlineLevel="0" max="2" min="2" style="1" width="11.71"/>
    <col collapsed="false" customWidth="true" hidden="false" outlineLevel="0" max="3" min="3" style="5" width="12.57"/>
    <col collapsed="false" customWidth="true" hidden="false" outlineLevel="0" max="4" min="4" style="1" width="21.71"/>
    <col collapsed="false" customWidth="true" hidden="false" outlineLevel="0" max="6" min="5" style="41" width="33.85"/>
    <col collapsed="false" customWidth="true" hidden="false" outlineLevel="0" max="7" min="7" style="42" width="33.85"/>
    <col collapsed="false" customWidth="true" hidden="false" outlineLevel="0" max="8" min="8" style="40" width="21.71"/>
    <col collapsed="false" customWidth="true" hidden="false" outlineLevel="0" max="10" min="9" style="1" width="11.29"/>
    <col collapsed="false" customWidth="true" hidden="false" outlineLevel="0" max="15" min="14" style="1" width="14.29"/>
    <col collapsed="false" customWidth="true" hidden="false" outlineLevel="0" max="16" min="16" style="43" width="20.43"/>
    <col collapsed="false" customWidth="true" hidden="false" outlineLevel="0" max="17" min="17" style="43" width="13.71"/>
    <col collapsed="false" customWidth="true" hidden="false" outlineLevel="0" max="18" min="18" style="1" width="40.14"/>
    <col collapsed="false" customWidth="true" hidden="false" outlineLevel="0" max="19" min="19" style="1" width="32.71"/>
  </cols>
  <sheetData>
    <row r="5" customFormat="false" ht="18.75" hidden="false" customHeight="true" outlineLevel="0" collapsed="false">
      <c r="B5" s="2" t="s">
        <v>55</v>
      </c>
    </row>
    <row r="7" s="27" customFormat="true" ht="45.75" hidden="false" customHeight="true" outlineLevel="0" collapsed="false">
      <c r="B7" s="44" t="s">
        <v>32</v>
      </c>
      <c r="C7" s="45" t="s">
        <v>56</v>
      </c>
      <c r="D7" s="44" t="s">
        <v>57</v>
      </c>
      <c r="E7" s="46" t="s">
        <v>58</v>
      </c>
      <c r="F7" s="46" t="s">
        <v>59</v>
      </c>
      <c r="G7" s="47" t="s">
        <v>60</v>
      </c>
      <c r="H7" s="44" t="s">
        <v>37</v>
      </c>
      <c r="I7" s="48" t="s">
        <v>61</v>
      </c>
      <c r="J7" s="48" t="s">
        <v>36</v>
      </c>
      <c r="K7" s="49" t="s">
        <v>62</v>
      </c>
      <c r="L7" s="49" t="s">
        <v>63</v>
      </c>
      <c r="M7" s="50" t="s">
        <v>64</v>
      </c>
      <c r="N7" s="51" t="s">
        <v>65</v>
      </c>
      <c r="O7" s="51" t="s">
        <v>66</v>
      </c>
      <c r="P7" s="52" t="s">
        <v>67</v>
      </c>
      <c r="Q7" s="52" t="s">
        <v>68</v>
      </c>
      <c r="R7" s="53" t="s">
        <v>36</v>
      </c>
      <c r="S7" s="54" t="s">
        <v>37</v>
      </c>
    </row>
    <row r="8" s="27" customFormat="true" ht="115.5" hidden="false" customHeight="true" outlineLevel="0" collapsed="false">
      <c r="B8" s="55" t="s">
        <v>69</v>
      </c>
      <c r="C8" s="55" t="s">
        <v>70</v>
      </c>
      <c r="D8" s="55" t="s">
        <v>71</v>
      </c>
      <c r="E8" s="55" t="s">
        <v>72</v>
      </c>
      <c r="F8" s="55" t="s">
        <v>73</v>
      </c>
      <c r="G8" s="56" t="s">
        <v>74</v>
      </c>
      <c r="H8" s="55" t="s">
        <v>75</v>
      </c>
      <c r="I8" s="55" t="s">
        <v>76</v>
      </c>
      <c r="J8" s="55" t="s">
        <v>42</v>
      </c>
      <c r="K8" s="55" t="s">
        <v>77</v>
      </c>
      <c r="L8" s="57" t="n">
        <v>1</v>
      </c>
      <c r="M8" s="57" t="n">
        <v>1</v>
      </c>
      <c r="N8" s="57" t="n">
        <v>3</v>
      </c>
      <c r="O8" s="58"/>
      <c r="P8" s="59" t="s">
        <v>21</v>
      </c>
      <c r="Q8" s="59"/>
      <c r="R8" s="59" t="s">
        <v>42</v>
      </c>
      <c r="S8" s="60"/>
    </row>
    <row r="9" customFormat="false" ht="114" hidden="false" customHeight="true" outlineLevel="0" collapsed="false">
      <c r="B9" s="55" t="s">
        <v>78</v>
      </c>
      <c r="C9" s="61" t="s">
        <v>79</v>
      </c>
      <c r="D9" s="55" t="s">
        <v>80</v>
      </c>
      <c r="E9" s="55" t="s">
        <v>81</v>
      </c>
      <c r="F9" s="55" t="s">
        <v>82</v>
      </c>
      <c r="G9" s="56" t="s">
        <v>83</v>
      </c>
      <c r="H9" s="55" t="s">
        <v>84</v>
      </c>
      <c r="I9" s="55" t="s">
        <v>76</v>
      </c>
      <c r="J9" s="55" t="s">
        <v>42</v>
      </c>
      <c r="K9" s="55" t="s">
        <v>77</v>
      </c>
      <c r="L9" s="57" t="n">
        <v>1</v>
      </c>
      <c r="M9" s="57" t="n">
        <v>1</v>
      </c>
      <c r="N9" s="57" t="n">
        <v>8</v>
      </c>
      <c r="O9" s="58"/>
      <c r="P9" s="59" t="s">
        <v>11</v>
      </c>
      <c r="Q9" s="59"/>
      <c r="R9" s="59" t="s">
        <v>42</v>
      </c>
      <c r="S9" s="60"/>
    </row>
    <row r="10" customFormat="false" ht="88.5" hidden="false" customHeight="true" outlineLevel="0" collapsed="false">
      <c r="B10" s="55" t="s">
        <v>85</v>
      </c>
      <c r="C10" s="61" t="s">
        <v>79</v>
      </c>
      <c r="D10" s="55" t="s">
        <v>80</v>
      </c>
      <c r="E10" s="55" t="s">
        <v>86</v>
      </c>
      <c r="F10" s="55" t="s">
        <v>87</v>
      </c>
      <c r="G10" s="56" t="s">
        <v>88</v>
      </c>
      <c r="H10" s="55" t="s">
        <v>89</v>
      </c>
      <c r="I10" s="55" t="s">
        <v>76</v>
      </c>
      <c r="J10" s="55" t="s">
        <v>42</v>
      </c>
      <c r="K10" s="55" t="s">
        <v>77</v>
      </c>
      <c r="L10" s="57" t="n">
        <v>1</v>
      </c>
      <c r="M10" s="57" t="n">
        <v>1</v>
      </c>
      <c r="N10" s="57" t="n">
        <v>5</v>
      </c>
      <c r="O10" s="58"/>
      <c r="P10" s="59" t="s">
        <v>11</v>
      </c>
      <c r="Q10" s="59"/>
      <c r="R10" s="59" t="s">
        <v>42</v>
      </c>
      <c r="S10" s="60"/>
    </row>
    <row r="11" customFormat="false" ht="45.75" hidden="false" customHeight="true" outlineLevel="0" collapsed="false">
      <c r="B11" s="55" t="s">
        <v>90</v>
      </c>
      <c r="C11" s="61" t="s">
        <v>91</v>
      </c>
      <c r="D11" s="55" t="s">
        <v>80</v>
      </c>
      <c r="E11" s="55" t="s">
        <v>92</v>
      </c>
      <c r="F11" s="55" t="s">
        <v>93</v>
      </c>
      <c r="G11" s="56" t="s">
        <v>94</v>
      </c>
      <c r="H11" s="58"/>
      <c r="I11" s="55" t="s">
        <v>95</v>
      </c>
      <c r="J11" s="55" t="s">
        <v>96</v>
      </c>
      <c r="K11" s="55" t="s">
        <v>77</v>
      </c>
      <c r="L11" s="57" t="n">
        <v>1</v>
      </c>
      <c r="M11" s="57" t="n">
        <v>1</v>
      </c>
      <c r="N11" s="57" t="n">
        <v>3</v>
      </c>
      <c r="O11" s="58"/>
      <c r="P11" s="59" t="s">
        <v>13</v>
      </c>
      <c r="Q11" s="59"/>
      <c r="R11" s="59" t="s">
        <v>42</v>
      </c>
      <c r="S11" s="60"/>
    </row>
    <row r="12" customFormat="false" ht="72.75" hidden="false" customHeight="true" outlineLevel="0" collapsed="false">
      <c r="B12" s="55" t="s">
        <v>97</v>
      </c>
      <c r="C12" s="58" t="s">
        <v>79</v>
      </c>
      <c r="D12" s="55" t="s">
        <v>80</v>
      </c>
      <c r="E12" s="55" t="s">
        <v>98</v>
      </c>
      <c r="F12" s="55" t="s">
        <v>99</v>
      </c>
      <c r="G12" s="56" t="s">
        <v>100</v>
      </c>
      <c r="H12" s="58"/>
      <c r="I12" s="55" t="s">
        <v>95</v>
      </c>
      <c r="J12" s="55" t="s">
        <v>42</v>
      </c>
      <c r="K12" s="55" t="s">
        <v>77</v>
      </c>
      <c r="L12" s="57" t="n">
        <v>1</v>
      </c>
      <c r="M12" s="57" t="n">
        <v>1</v>
      </c>
      <c r="N12" s="57" t="n">
        <v>5</v>
      </c>
      <c r="O12" s="58"/>
      <c r="P12" s="59" t="s">
        <v>18</v>
      </c>
      <c r="Q12" s="59" t="s">
        <v>21</v>
      </c>
      <c r="R12" s="59" t="s">
        <v>42</v>
      </c>
      <c r="S12" s="60"/>
    </row>
    <row r="13" customFormat="false" ht="71.25" hidden="false" customHeight="true" outlineLevel="0" collapsed="false">
      <c r="B13" s="55" t="s">
        <v>101</v>
      </c>
      <c r="C13" s="58" t="s">
        <v>102</v>
      </c>
      <c r="D13" s="55" t="s">
        <v>80</v>
      </c>
      <c r="E13" s="55" t="s">
        <v>103</v>
      </c>
      <c r="F13" s="55" t="s">
        <v>104</v>
      </c>
      <c r="G13" s="56" t="s">
        <v>105</v>
      </c>
      <c r="H13" s="58"/>
      <c r="I13" s="55" t="s">
        <v>76</v>
      </c>
      <c r="J13" s="55" t="s">
        <v>42</v>
      </c>
      <c r="K13" s="55" t="s">
        <v>77</v>
      </c>
      <c r="L13" s="57" t="n">
        <v>1</v>
      </c>
      <c r="M13" s="57" t="n">
        <v>1</v>
      </c>
      <c r="N13" s="57" t="n">
        <v>8</v>
      </c>
      <c r="O13" s="58"/>
      <c r="P13" s="59" t="s">
        <v>15</v>
      </c>
      <c r="Q13" s="59"/>
      <c r="R13" s="59" t="s">
        <v>42</v>
      </c>
      <c r="S13" s="60"/>
    </row>
    <row r="14" customFormat="false" ht="75.75" hidden="false" customHeight="true" outlineLevel="0" collapsed="false">
      <c r="B14" s="55" t="s">
        <v>106</v>
      </c>
      <c r="C14" s="58" t="s">
        <v>102</v>
      </c>
      <c r="D14" s="55" t="s">
        <v>80</v>
      </c>
      <c r="E14" s="55" t="s">
        <v>107</v>
      </c>
      <c r="F14" s="55" t="s">
        <v>108</v>
      </c>
      <c r="G14" s="56" t="s">
        <v>109</v>
      </c>
      <c r="H14" s="58"/>
      <c r="I14" s="55" t="s">
        <v>76</v>
      </c>
      <c r="J14" s="55" t="s">
        <v>42</v>
      </c>
      <c r="K14" s="55" t="s">
        <v>77</v>
      </c>
      <c r="L14" s="57" t="n">
        <v>1</v>
      </c>
      <c r="M14" s="57" t="n">
        <v>1</v>
      </c>
      <c r="N14" s="57" t="n">
        <v>5</v>
      </c>
      <c r="O14" s="58"/>
      <c r="P14" s="59" t="s">
        <v>15</v>
      </c>
      <c r="Q14" s="59"/>
      <c r="R14" s="59" t="s">
        <v>42</v>
      </c>
      <c r="S14" s="60"/>
    </row>
    <row r="15" customFormat="false" ht="75" hidden="false" customHeight="true" outlineLevel="0" collapsed="false">
      <c r="B15" s="55" t="s">
        <v>110</v>
      </c>
      <c r="C15" s="58" t="s">
        <v>111</v>
      </c>
      <c r="D15" s="55" t="s">
        <v>112</v>
      </c>
      <c r="E15" s="55" t="s">
        <v>113</v>
      </c>
      <c r="F15" s="55" t="s">
        <v>114</v>
      </c>
      <c r="G15" s="56" t="s">
        <v>115</v>
      </c>
      <c r="H15" s="55" t="s">
        <v>116</v>
      </c>
      <c r="I15" s="55" t="s">
        <v>76</v>
      </c>
      <c r="J15" s="55" t="s">
        <v>42</v>
      </c>
      <c r="K15" s="55" t="s">
        <v>77</v>
      </c>
      <c r="L15" s="57" t="n">
        <v>1</v>
      </c>
      <c r="M15" s="57" t="n">
        <v>1</v>
      </c>
      <c r="N15" s="57" t="n">
        <v>8</v>
      </c>
      <c r="O15" s="58"/>
      <c r="P15" s="59" t="s">
        <v>13</v>
      </c>
      <c r="Q15" s="59"/>
      <c r="R15" s="59" t="s">
        <v>42</v>
      </c>
      <c r="S15" s="60"/>
    </row>
    <row r="16" customFormat="false" ht="81" hidden="false" customHeight="true" outlineLevel="0" collapsed="false">
      <c r="B16" s="55" t="s">
        <v>117</v>
      </c>
      <c r="C16" s="58" t="s">
        <v>111</v>
      </c>
      <c r="D16" s="55" t="s">
        <v>118</v>
      </c>
      <c r="E16" s="55" t="s">
        <v>119</v>
      </c>
      <c r="F16" s="55" t="s">
        <v>120</v>
      </c>
      <c r="G16" s="56" t="s">
        <v>121</v>
      </c>
      <c r="H16" s="58"/>
      <c r="I16" s="55" t="s">
        <v>76</v>
      </c>
      <c r="J16" s="55" t="s">
        <v>42</v>
      </c>
      <c r="K16" s="55" t="s">
        <v>77</v>
      </c>
      <c r="L16" s="57" t="n">
        <v>1</v>
      </c>
      <c r="M16" s="57" t="n">
        <v>1</v>
      </c>
      <c r="N16" s="57" t="n">
        <v>5</v>
      </c>
      <c r="O16" s="58"/>
      <c r="P16" s="59" t="s">
        <v>18</v>
      </c>
      <c r="Q16" s="59" t="s">
        <v>21</v>
      </c>
      <c r="R16" s="59" t="s">
        <v>42</v>
      </c>
      <c r="S16" s="60"/>
    </row>
    <row r="17" customFormat="false" ht="59.25" hidden="false" customHeight="true" outlineLevel="0" collapsed="false">
      <c r="B17" s="55" t="s">
        <v>122</v>
      </c>
      <c r="C17" s="55" t="s">
        <v>123</v>
      </c>
      <c r="D17" s="55" t="s">
        <v>124</v>
      </c>
      <c r="E17" s="55" t="s">
        <v>125</v>
      </c>
      <c r="F17" s="55" t="s">
        <v>126</v>
      </c>
      <c r="G17" s="56" t="s">
        <v>127</v>
      </c>
      <c r="H17" s="55" t="s">
        <v>128</v>
      </c>
      <c r="I17" s="55" t="s">
        <v>76</v>
      </c>
      <c r="J17" s="55" t="s">
        <v>129</v>
      </c>
      <c r="K17" s="55" t="s">
        <v>77</v>
      </c>
      <c r="L17" s="57" t="n">
        <v>1</v>
      </c>
      <c r="M17" s="57" t="n">
        <v>2</v>
      </c>
      <c r="N17" s="57" t="n">
        <v>5</v>
      </c>
      <c r="O17" s="58"/>
      <c r="P17" s="59" t="s">
        <v>18</v>
      </c>
      <c r="Q17" s="59"/>
      <c r="R17" s="59" t="s">
        <v>129</v>
      </c>
      <c r="S17" s="60"/>
    </row>
    <row r="18" customFormat="false" ht="110.25" hidden="false" customHeight="true" outlineLevel="0" collapsed="false">
      <c r="B18" s="55" t="s">
        <v>130</v>
      </c>
      <c r="C18" s="55" t="s">
        <v>123</v>
      </c>
      <c r="D18" s="55" t="s">
        <v>131</v>
      </c>
      <c r="E18" s="55" t="s">
        <v>132</v>
      </c>
      <c r="F18" s="55" t="s">
        <v>133</v>
      </c>
      <c r="G18" s="62" t="s">
        <v>134</v>
      </c>
      <c r="H18" s="58"/>
      <c r="I18" s="55" t="s">
        <v>76</v>
      </c>
      <c r="J18" s="55" t="s">
        <v>129</v>
      </c>
      <c r="K18" s="55" t="s">
        <v>77</v>
      </c>
      <c r="L18" s="57" t="n">
        <v>1</v>
      </c>
      <c r="M18" s="57" t="n">
        <v>2</v>
      </c>
      <c r="N18" s="57" t="n">
        <v>5</v>
      </c>
      <c r="O18" s="58"/>
      <c r="P18" s="59" t="s">
        <v>21</v>
      </c>
      <c r="Q18" s="59"/>
      <c r="R18" s="59" t="s">
        <v>129</v>
      </c>
      <c r="S18" s="60"/>
    </row>
    <row r="19" customFormat="false" ht="66" hidden="false" customHeight="true" outlineLevel="0" collapsed="false">
      <c r="B19" s="55" t="s">
        <v>135</v>
      </c>
      <c r="C19" s="55" t="s">
        <v>123</v>
      </c>
      <c r="D19" s="55" t="s">
        <v>136</v>
      </c>
      <c r="E19" s="55" t="s">
        <v>137</v>
      </c>
      <c r="F19" s="55" t="s">
        <v>138</v>
      </c>
      <c r="G19" s="56" t="s">
        <v>139</v>
      </c>
      <c r="H19" s="58"/>
      <c r="I19" s="55" t="s">
        <v>76</v>
      </c>
      <c r="J19" s="55" t="s">
        <v>129</v>
      </c>
      <c r="K19" s="55" t="s">
        <v>77</v>
      </c>
      <c r="L19" s="57" t="n">
        <v>1</v>
      </c>
      <c r="M19" s="57" t="n">
        <v>2</v>
      </c>
      <c r="N19" s="57" t="n">
        <v>5</v>
      </c>
      <c r="O19" s="58"/>
      <c r="P19" s="59" t="s">
        <v>11</v>
      </c>
      <c r="Q19" s="59"/>
      <c r="R19" s="59" t="s">
        <v>129</v>
      </c>
      <c r="S19" s="60"/>
    </row>
    <row r="20" customFormat="false" ht="102" hidden="false" customHeight="true" outlineLevel="0" collapsed="false">
      <c r="B20" s="55" t="s">
        <v>140</v>
      </c>
      <c r="C20" s="58" t="s">
        <v>141</v>
      </c>
      <c r="D20" s="55" t="s">
        <v>118</v>
      </c>
      <c r="E20" s="55" t="s">
        <v>142</v>
      </c>
      <c r="F20" s="55" t="s">
        <v>143</v>
      </c>
      <c r="G20" s="56" t="s">
        <v>144</v>
      </c>
      <c r="H20" s="55" t="s">
        <v>145</v>
      </c>
      <c r="I20" s="55" t="s">
        <v>76</v>
      </c>
      <c r="J20" s="55" t="s">
        <v>129</v>
      </c>
      <c r="K20" s="55" t="s">
        <v>77</v>
      </c>
      <c r="L20" s="57" t="n">
        <v>1</v>
      </c>
      <c r="M20" s="57" t="n">
        <v>3</v>
      </c>
      <c r="N20" s="57" t="n">
        <v>8</v>
      </c>
      <c r="O20" s="58"/>
      <c r="P20" s="59" t="s">
        <v>13</v>
      </c>
      <c r="Q20" s="59"/>
      <c r="R20" s="59" t="s">
        <v>129</v>
      </c>
      <c r="S20" s="60"/>
    </row>
    <row r="21" customFormat="false" ht="35.25" hidden="false" customHeight="true" outlineLevel="0" collapsed="false">
      <c r="B21" s="55" t="s">
        <v>146</v>
      </c>
      <c r="C21" s="58" t="s">
        <v>141</v>
      </c>
      <c r="D21" s="55" t="s">
        <v>147</v>
      </c>
      <c r="E21" s="55" t="s">
        <v>148</v>
      </c>
      <c r="F21" s="55" t="s">
        <v>149</v>
      </c>
      <c r="G21" s="56" t="s">
        <v>150</v>
      </c>
      <c r="H21" s="55" t="s">
        <v>151</v>
      </c>
      <c r="I21" s="55" t="s">
        <v>76</v>
      </c>
      <c r="J21" s="55" t="s">
        <v>129</v>
      </c>
      <c r="K21" s="55" t="s">
        <v>77</v>
      </c>
      <c r="L21" s="57" t="n">
        <v>1</v>
      </c>
      <c r="M21" s="57" t="n">
        <v>3</v>
      </c>
      <c r="N21" s="57" t="n">
        <v>8</v>
      </c>
      <c r="O21" s="58"/>
      <c r="P21" s="59" t="s">
        <v>15</v>
      </c>
      <c r="Q21" s="59"/>
      <c r="R21" s="59" t="s">
        <v>129</v>
      </c>
      <c r="S21" s="60"/>
    </row>
    <row r="22" customFormat="false" ht="89.25" hidden="false" customHeight="true" outlineLevel="0" collapsed="false">
      <c r="B22" s="55" t="s">
        <v>152</v>
      </c>
      <c r="C22" s="58" t="s">
        <v>141</v>
      </c>
      <c r="D22" s="55" t="s">
        <v>147</v>
      </c>
      <c r="E22" s="55" t="s">
        <v>153</v>
      </c>
      <c r="F22" s="55" t="s">
        <v>154</v>
      </c>
      <c r="G22" s="56" t="s">
        <v>155</v>
      </c>
      <c r="H22" s="55" t="s">
        <v>156</v>
      </c>
      <c r="I22" s="55" t="s">
        <v>76</v>
      </c>
      <c r="J22" s="55" t="s">
        <v>129</v>
      </c>
      <c r="K22" s="55" t="s">
        <v>77</v>
      </c>
      <c r="L22" s="57" t="n">
        <v>1</v>
      </c>
      <c r="M22" s="57" t="n">
        <v>3</v>
      </c>
      <c r="N22" s="57" t="n">
        <v>8</v>
      </c>
      <c r="O22" s="58"/>
      <c r="P22" s="59" t="s">
        <v>18</v>
      </c>
      <c r="Q22" s="59"/>
      <c r="R22" s="59" t="s">
        <v>129</v>
      </c>
      <c r="S22" s="60"/>
    </row>
    <row r="23" customFormat="false" ht="148.5" hidden="false" customHeight="true" outlineLevel="0" collapsed="false">
      <c r="B23" s="55" t="s">
        <v>157</v>
      </c>
      <c r="C23" s="58" t="s">
        <v>141</v>
      </c>
      <c r="D23" s="55" t="s">
        <v>158</v>
      </c>
      <c r="E23" s="55" t="s">
        <v>159</v>
      </c>
      <c r="F23" s="55" t="s">
        <v>160</v>
      </c>
      <c r="G23" s="56" t="s">
        <v>161</v>
      </c>
      <c r="H23" s="55" t="s">
        <v>162</v>
      </c>
      <c r="I23" s="55" t="s">
        <v>76</v>
      </c>
      <c r="J23" s="55" t="s">
        <v>129</v>
      </c>
      <c r="K23" s="55" t="s">
        <v>77</v>
      </c>
      <c r="L23" s="57" t="n">
        <v>1</v>
      </c>
      <c r="M23" s="57" t="n">
        <v>3</v>
      </c>
      <c r="N23" s="57" t="n">
        <v>8</v>
      </c>
      <c r="O23" s="58"/>
      <c r="P23" s="59" t="s">
        <v>21</v>
      </c>
      <c r="Q23" s="59"/>
      <c r="R23" s="59" t="s">
        <v>129</v>
      </c>
      <c r="S23" s="60"/>
    </row>
    <row r="24" customFormat="false" ht="151.5" hidden="false" customHeight="true" outlineLevel="0" collapsed="false">
      <c r="B24" s="55" t="s">
        <v>163</v>
      </c>
      <c r="C24" s="58" t="s">
        <v>164</v>
      </c>
      <c r="D24" s="55" t="s">
        <v>112</v>
      </c>
      <c r="E24" s="55" t="s">
        <v>165</v>
      </c>
      <c r="F24" s="55" t="s">
        <v>166</v>
      </c>
      <c r="G24" s="62" t="s">
        <v>167</v>
      </c>
      <c r="H24" s="58"/>
      <c r="I24" s="55" t="s">
        <v>76</v>
      </c>
      <c r="J24" s="55" t="s">
        <v>129</v>
      </c>
      <c r="K24" s="55" t="s">
        <v>168</v>
      </c>
      <c r="L24" s="57" t="n">
        <v>1</v>
      </c>
      <c r="M24" s="57" t="n">
        <v>2</v>
      </c>
      <c r="N24" s="57" t="n">
        <v>8</v>
      </c>
      <c r="O24" s="58"/>
      <c r="P24" s="59" t="s">
        <v>11</v>
      </c>
      <c r="Q24" s="59"/>
      <c r="R24" s="59" t="s">
        <v>129</v>
      </c>
      <c r="S24" s="60"/>
    </row>
    <row r="25" customFormat="false" ht="73.5" hidden="false" customHeight="true" outlineLevel="0" collapsed="false">
      <c r="B25" s="55" t="s">
        <v>169</v>
      </c>
      <c r="C25" s="58" t="s">
        <v>164</v>
      </c>
      <c r="D25" s="55" t="s">
        <v>170</v>
      </c>
      <c r="E25" s="55" t="s">
        <v>171</v>
      </c>
      <c r="F25" s="55" t="s">
        <v>172</v>
      </c>
      <c r="G25" s="56" t="s">
        <v>173</v>
      </c>
      <c r="H25" s="58"/>
      <c r="I25" s="55" t="s">
        <v>76</v>
      </c>
      <c r="J25" s="55" t="s">
        <v>129</v>
      </c>
      <c r="K25" s="55" t="s">
        <v>168</v>
      </c>
      <c r="L25" s="57" t="n">
        <v>1</v>
      </c>
      <c r="M25" s="57" t="n">
        <v>2</v>
      </c>
      <c r="N25" s="57" t="n">
        <v>5</v>
      </c>
      <c r="O25" s="58"/>
      <c r="P25" s="59" t="s">
        <v>13</v>
      </c>
      <c r="Q25" s="59"/>
      <c r="R25" s="59" t="s">
        <v>129</v>
      </c>
      <c r="S25" s="60"/>
    </row>
    <row r="26" customFormat="false" ht="117.75" hidden="false" customHeight="true" outlineLevel="0" collapsed="false">
      <c r="B26" s="55" t="s">
        <v>174</v>
      </c>
      <c r="C26" s="55" t="s">
        <v>175</v>
      </c>
      <c r="D26" s="55" t="s">
        <v>131</v>
      </c>
      <c r="E26" s="55" t="s">
        <v>176</v>
      </c>
      <c r="F26" s="55" t="s">
        <v>177</v>
      </c>
      <c r="G26" s="56" t="s">
        <v>178</v>
      </c>
      <c r="H26" s="58"/>
      <c r="I26" s="55" t="s">
        <v>76</v>
      </c>
      <c r="J26" s="55" t="s">
        <v>129</v>
      </c>
      <c r="K26" s="55" t="s">
        <v>77</v>
      </c>
      <c r="L26" s="57" t="n">
        <v>1</v>
      </c>
      <c r="M26" s="57" t="n">
        <v>3</v>
      </c>
      <c r="N26" s="57" t="n">
        <v>5</v>
      </c>
      <c r="O26" s="58"/>
      <c r="P26" s="59" t="s">
        <v>15</v>
      </c>
      <c r="Q26" s="59"/>
      <c r="R26" s="59" t="s">
        <v>129</v>
      </c>
      <c r="S26" s="60"/>
    </row>
    <row r="27" customFormat="false" ht="132.75" hidden="false" customHeight="true" outlineLevel="0" collapsed="false">
      <c r="B27" s="55" t="s">
        <v>179</v>
      </c>
      <c r="C27" s="55" t="s">
        <v>175</v>
      </c>
      <c r="D27" s="55" t="s">
        <v>131</v>
      </c>
      <c r="E27" s="55" t="s">
        <v>180</v>
      </c>
      <c r="F27" s="55" t="s">
        <v>181</v>
      </c>
      <c r="G27" s="62" t="s">
        <v>182</v>
      </c>
      <c r="H27" s="58"/>
      <c r="I27" s="55" t="s">
        <v>76</v>
      </c>
      <c r="J27" s="55" t="s">
        <v>129</v>
      </c>
      <c r="K27" s="55" t="s">
        <v>77</v>
      </c>
      <c r="L27" s="57" t="n">
        <v>1</v>
      </c>
      <c r="M27" s="57" t="n">
        <v>3</v>
      </c>
      <c r="N27" s="57" t="n">
        <v>5</v>
      </c>
      <c r="O27" s="58"/>
      <c r="P27" s="59" t="s">
        <v>18</v>
      </c>
      <c r="Q27" s="59"/>
      <c r="R27" s="59" t="s">
        <v>129</v>
      </c>
      <c r="S27" s="60"/>
    </row>
    <row r="28" customFormat="false" ht="74.25" hidden="false" customHeight="true" outlineLevel="0" collapsed="false">
      <c r="B28" s="55" t="s">
        <v>183</v>
      </c>
      <c r="C28" s="55" t="s">
        <v>175</v>
      </c>
      <c r="D28" s="55" t="s">
        <v>170</v>
      </c>
      <c r="E28" s="55" t="s">
        <v>184</v>
      </c>
      <c r="F28" s="55" t="s">
        <v>185</v>
      </c>
      <c r="G28" s="62" t="s">
        <v>186</v>
      </c>
      <c r="H28" s="58"/>
      <c r="I28" s="55" t="s">
        <v>95</v>
      </c>
      <c r="J28" s="55" t="s">
        <v>129</v>
      </c>
      <c r="K28" s="55" t="s">
        <v>168</v>
      </c>
      <c r="L28" s="57" t="n">
        <v>1</v>
      </c>
      <c r="M28" s="57" t="n">
        <v>3</v>
      </c>
      <c r="N28" s="57" t="n">
        <v>5</v>
      </c>
      <c r="O28" s="58"/>
      <c r="P28" s="59" t="s">
        <v>21</v>
      </c>
      <c r="Q28" s="59"/>
      <c r="R28" s="59" t="s">
        <v>129</v>
      </c>
      <c r="S28" s="60"/>
    </row>
    <row r="29" customFormat="false" ht="104.25" hidden="false" customHeight="true" outlineLevel="0" collapsed="false">
      <c r="B29" s="55" t="s">
        <v>187</v>
      </c>
      <c r="C29" s="58" t="s">
        <v>188</v>
      </c>
      <c r="D29" s="55" t="s">
        <v>80</v>
      </c>
      <c r="E29" s="55" t="s">
        <v>189</v>
      </c>
      <c r="F29" s="55" t="s">
        <v>190</v>
      </c>
      <c r="G29" s="62" t="s">
        <v>191</v>
      </c>
      <c r="H29" s="58"/>
      <c r="I29" s="55" t="s">
        <v>76</v>
      </c>
      <c r="J29" s="55" t="s">
        <v>129</v>
      </c>
      <c r="K29" s="55" t="s">
        <v>77</v>
      </c>
      <c r="L29" s="57" t="n">
        <v>1</v>
      </c>
      <c r="M29" s="57" t="n">
        <v>4</v>
      </c>
      <c r="N29" s="57" t="n">
        <v>3</v>
      </c>
      <c r="O29" s="58"/>
      <c r="P29" s="59" t="s">
        <v>11</v>
      </c>
      <c r="Q29" s="59"/>
      <c r="R29" s="59" t="s">
        <v>129</v>
      </c>
      <c r="S29" s="60"/>
    </row>
    <row r="30" customFormat="false" ht="142.5" hidden="false" customHeight="true" outlineLevel="0" collapsed="false">
      <c r="B30" s="55" t="s">
        <v>192</v>
      </c>
      <c r="C30" s="58" t="s">
        <v>188</v>
      </c>
      <c r="D30" s="55" t="s">
        <v>80</v>
      </c>
      <c r="E30" s="55" t="s">
        <v>193</v>
      </c>
      <c r="F30" s="55" t="s">
        <v>194</v>
      </c>
      <c r="G30" s="56" t="s">
        <v>195</v>
      </c>
      <c r="H30" s="58"/>
      <c r="I30" s="55" t="s">
        <v>95</v>
      </c>
      <c r="J30" s="55" t="s">
        <v>129</v>
      </c>
      <c r="K30" s="55" t="s">
        <v>77</v>
      </c>
      <c r="L30" s="57" t="n">
        <v>1</v>
      </c>
      <c r="M30" s="57" t="n">
        <v>4</v>
      </c>
      <c r="N30" s="57" t="n">
        <v>5</v>
      </c>
      <c r="O30" s="58"/>
      <c r="P30" s="59" t="s">
        <v>13</v>
      </c>
      <c r="Q30" s="59"/>
      <c r="R30" s="59" t="s">
        <v>129</v>
      </c>
      <c r="S30" s="60"/>
    </row>
    <row r="31" customFormat="false" ht="147" hidden="false" customHeight="true" outlineLevel="0" collapsed="false">
      <c r="B31" s="55" t="s">
        <v>196</v>
      </c>
      <c r="C31" s="58" t="s">
        <v>197</v>
      </c>
      <c r="D31" s="55" t="s">
        <v>198</v>
      </c>
      <c r="E31" s="55" t="s">
        <v>199</v>
      </c>
      <c r="F31" s="55" t="s">
        <v>200</v>
      </c>
      <c r="G31" s="62" t="s">
        <v>201</v>
      </c>
      <c r="H31" s="58"/>
      <c r="I31" s="55" t="s">
        <v>76</v>
      </c>
      <c r="J31" s="55" t="s">
        <v>129</v>
      </c>
      <c r="K31" s="55" t="s">
        <v>77</v>
      </c>
      <c r="L31" s="57" t="n">
        <v>1</v>
      </c>
      <c r="M31" s="57" t="n">
        <v>4</v>
      </c>
      <c r="N31" s="57" t="n">
        <v>8</v>
      </c>
      <c r="O31" s="58"/>
      <c r="P31" s="59" t="s">
        <v>15</v>
      </c>
      <c r="Q31" s="59"/>
      <c r="R31" s="59" t="s">
        <v>129</v>
      </c>
      <c r="S31" s="60"/>
    </row>
    <row r="32" customFormat="false" ht="90" hidden="false" customHeight="true" outlineLevel="0" collapsed="false">
      <c r="B32" s="55" t="s">
        <v>202</v>
      </c>
      <c r="C32" s="55" t="s">
        <v>203</v>
      </c>
      <c r="D32" s="55" t="s">
        <v>204</v>
      </c>
      <c r="E32" s="55" t="s">
        <v>205</v>
      </c>
      <c r="F32" s="55" t="s">
        <v>206</v>
      </c>
      <c r="G32" s="56" t="s">
        <v>207</v>
      </c>
      <c r="H32" s="55" t="s">
        <v>208</v>
      </c>
      <c r="I32" s="55" t="s">
        <v>76</v>
      </c>
      <c r="J32" s="55" t="s">
        <v>129</v>
      </c>
      <c r="K32" s="55" t="s">
        <v>209</v>
      </c>
      <c r="L32" s="57" t="n">
        <v>1</v>
      </c>
      <c r="M32" s="57" t="n">
        <v>4</v>
      </c>
      <c r="N32" s="57" t="n">
        <v>8</v>
      </c>
      <c r="O32" s="58"/>
      <c r="P32" s="59" t="s">
        <v>18</v>
      </c>
      <c r="Q32" s="59"/>
      <c r="R32" s="59" t="s">
        <v>129</v>
      </c>
      <c r="S32" s="60"/>
    </row>
    <row r="33" customFormat="false" ht="47.25" hidden="false" customHeight="true" outlineLevel="0" collapsed="false">
      <c r="B33" s="55" t="s">
        <v>210</v>
      </c>
      <c r="C33" s="55" t="s">
        <v>211</v>
      </c>
      <c r="D33" s="55" t="s">
        <v>204</v>
      </c>
      <c r="E33" s="55" t="s">
        <v>212</v>
      </c>
      <c r="F33" s="55" t="s">
        <v>213</v>
      </c>
      <c r="G33" s="56" t="s">
        <v>214</v>
      </c>
      <c r="H33" s="55" t="s">
        <v>215</v>
      </c>
      <c r="I33" s="55" t="s">
        <v>76</v>
      </c>
      <c r="J33" s="55" t="s">
        <v>129</v>
      </c>
      <c r="K33" s="55" t="s">
        <v>209</v>
      </c>
      <c r="L33" s="57" t="n">
        <v>1</v>
      </c>
      <c r="M33" s="57" t="n">
        <v>4</v>
      </c>
      <c r="N33" s="57" t="n">
        <v>8</v>
      </c>
      <c r="O33" s="58"/>
      <c r="P33" s="59" t="s">
        <v>21</v>
      </c>
      <c r="Q33" s="59"/>
      <c r="R33" s="59" t="s">
        <v>129</v>
      </c>
      <c r="S33" s="60"/>
    </row>
    <row r="34" customFormat="false" ht="87.75" hidden="false" customHeight="true" outlineLevel="0" collapsed="false">
      <c r="B34" s="55" t="s">
        <v>216</v>
      </c>
      <c r="C34" s="55" t="s">
        <v>217</v>
      </c>
      <c r="D34" s="55" t="s">
        <v>218</v>
      </c>
      <c r="E34" s="55" t="s">
        <v>219</v>
      </c>
      <c r="F34" s="55" t="s">
        <v>220</v>
      </c>
      <c r="G34" s="56" t="s">
        <v>221</v>
      </c>
      <c r="H34" s="55" t="s">
        <v>222</v>
      </c>
      <c r="I34" s="55" t="s">
        <v>76</v>
      </c>
      <c r="J34" s="55" t="s">
        <v>129</v>
      </c>
      <c r="K34" s="55" t="s">
        <v>223</v>
      </c>
      <c r="L34" s="57" t="n">
        <v>1</v>
      </c>
      <c r="M34" s="57" t="n">
        <v>4</v>
      </c>
      <c r="N34" s="57" t="n">
        <v>5</v>
      </c>
      <c r="O34" s="58"/>
      <c r="P34" s="59" t="s">
        <v>11</v>
      </c>
      <c r="Q34" s="59"/>
      <c r="R34" s="59" t="s">
        <v>129</v>
      </c>
      <c r="S34" s="60"/>
    </row>
    <row r="35" customFormat="false" ht="15" hidden="false" customHeight="true" outlineLevel="0" collapsed="false">
      <c r="R35" s="43"/>
    </row>
    <row r="36" customFormat="false" ht="15" hidden="false" customHeight="true" outlineLevel="0" collapsed="false">
      <c r="R36" s="43"/>
    </row>
  </sheetData>
  <autoFilter ref="B7:R7"/>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ADC"/>
    <pageSetUpPr fitToPage="true"/>
  </sheetPr>
  <dimension ref="B5:T42"/>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T8" activeCellId="0" sqref="T8"/>
    </sheetView>
  </sheetViews>
  <sheetFormatPr defaultColWidth="8.74609375" defaultRowHeight="12.75" zeroHeight="false" outlineLevelRow="0" outlineLevelCol="0"/>
  <cols>
    <col collapsed="false" customWidth="true" hidden="false" outlineLevel="0" max="1" min="1" style="1" width="5.43"/>
    <col collapsed="false" customWidth="true" hidden="false" outlineLevel="0" max="3" min="2" style="1" width="11.43"/>
    <col collapsed="false" customWidth="true" hidden="false" outlineLevel="0" max="4" min="4" style="1" width="24.29"/>
    <col collapsed="false" customWidth="true" hidden="false" outlineLevel="0" max="5" min="5" style="1" width="15"/>
    <col collapsed="false" customWidth="true" hidden="false" outlineLevel="0" max="6" min="6" style="1" width="13.29"/>
    <col collapsed="false" customWidth="true" hidden="false" outlineLevel="0" max="9" min="7" style="1" width="11.57"/>
    <col collapsed="false" customWidth="true" hidden="false" outlineLevel="0" max="19" min="10" style="1" width="3.71"/>
  </cols>
  <sheetData>
    <row r="5" customFormat="false" ht="18.75" hidden="false" customHeight="true" outlineLevel="0" collapsed="false">
      <c r="B5" s="2" t="s">
        <v>224</v>
      </c>
      <c r="K5" s="63"/>
      <c r="O5" s="63"/>
    </row>
    <row r="6" customFormat="false" ht="18.75" hidden="false" customHeight="true" outlineLevel="0" collapsed="false">
      <c r="B6" s="2"/>
      <c r="K6" s="63"/>
      <c r="O6" s="63" t="s">
        <v>225</v>
      </c>
    </row>
    <row r="7" customFormat="false" ht="34.5" hidden="false" customHeight="true" outlineLevel="0" collapsed="false">
      <c r="B7" s="64" t="s">
        <v>64</v>
      </c>
      <c r="C7" s="64" t="s">
        <v>226</v>
      </c>
      <c r="D7" s="64" t="s">
        <v>33</v>
      </c>
      <c r="E7" s="64" t="s">
        <v>67</v>
      </c>
      <c r="F7" s="65" t="s">
        <v>227</v>
      </c>
      <c r="G7" s="65" t="s">
        <v>36</v>
      </c>
      <c r="H7" s="28" t="s">
        <v>65</v>
      </c>
      <c r="I7" s="28" t="s">
        <v>228</v>
      </c>
      <c r="J7" s="28" t="s">
        <v>229</v>
      </c>
      <c r="K7" s="66" t="s">
        <v>230</v>
      </c>
      <c r="L7" s="66" t="s">
        <v>231</v>
      </c>
      <c r="M7" s="66" t="s">
        <v>232</v>
      </c>
      <c r="N7" s="66" t="s">
        <v>233</v>
      </c>
      <c r="O7" s="66" t="s">
        <v>234</v>
      </c>
      <c r="P7" s="66" t="s">
        <v>235</v>
      </c>
      <c r="Q7" s="66" t="s">
        <v>236</v>
      </c>
      <c r="R7" s="66" t="s">
        <v>237</v>
      </c>
      <c r="S7" s="66" t="s">
        <v>238</v>
      </c>
      <c r="T7" s="66" t="s">
        <v>239</v>
      </c>
    </row>
    <row r="8" customFormat="false" ht="34.5" hidden="false" customHeight="true" outlineLevel="0" collapsed="false">
      <c r="B8" s="41" t="n">
        <v>1</v>
      </c>
      <c r="C8" s="67" t="s">
        <v>69</v>
      </c>
      <c r="D8" s="68" t="s">
        <v>70</v>
      </c>
      <c r="E8" s="69" t="s">
        <v>21</v>
      </c>
      <c r="F8" s="69"/>
      <c r="G8" s="70" t="s">
        <v>96</v>
      </c>
      <c r="H8" s="71" t="n">
        <v>3</v>
      </c>
      <c r="I8" s="72" t="n">
        <f aca="false">SUM(K8:T8)</f>
        <v>3</v>
      </c>
      <c r="J8" s="72" t="n">
        <f aca="false">H8-I8</f>
        <v>0</v>
      </c>
      <c r="K8" s="31" t="n">
        <v>0</v>
      </c>
      <c r="L8" s="31" t="n">
        <v>0</v>
      </c>
      <c r="M8" s="31" t="n">
        <v>0</v>
      </c>
      <c r="N8" s="31" t="n">
        <v>2</v>
      </c>
      <c r="O8" s="31" t="n">
        <v>0</v>
      </c>
      <c r="P8" s="31" t="n">
        <v>0</v>
      </c>
      <c r="Q8" s="31" t="n">
        <v>0</v>
      </c>
      <c r="R8" s="31" t="n">
        <v>0</v>
      </c>
      <c r="S8" s="31" t="n">
        <v>0</v>
      </c>
      <c r="T8" s="31" t="n">
        <v>1</v>
      </c>
    </row>
    <row r="9" customFormat="false" ht="33.75" hidden="false" customHeight="true" outlineLevel="0" collapsed="false">
      <c r="B9" s="41" t="n">
        <v>1</v>
      </c>
      <c r="C9" s="67" t="s">
        <v>78</v>
      </c>
      <c r="D9" s="68" t="s">
        <v>240</v>
      </c>
      <c r="E9" s="69" t="s">
        <v>11</v>
      </c>
      <c r="F9" s="27"/>
      <c r="G9" s="70" t="s">
        <v>96</v>
      </c>
      <c r="H9" s="71" t="n">
        <v>8</v>
      </c>
      <c r="I9" s="72" t="n">
        <f aca="false">SUM(K9:T9)</f>
        <v>8</v>
      </c>
      <c r="J9" s="72" t="n">
        <v>8</v>
      </c>
      <c r="K9" s="31" t="n">
        <v>4</v>
      </c>
      <c r="L9" s="31" t="n">
        <v>0</v>
      </c>
      <c r="M9" s="31" t="n">
        <v>1</v>
      </c>
      <c r="N9" s="31" t="n">
        <v>0</v>
      </c>
      <c r="O9" s="31" t="n">
        <v>1</v>
      </c>
      <c r="P9" s="31" t="n">
        <v>0</v>
      </c>
      <c r="Q9" s="31" t="n">
        <v>1</v>
      </c>
      <c r="R9" s="31" t="n">
        <v>0</v>
      </c>
      <c r="S9" s="31" t="n">
        <v>1</v>
      </c>
      <c r="T9" s="31" t="n">
        <v>0</v>
      </c>
    </row>
    <row r="10" customFormat="false" ht="27" hidden="false" customHeight="true" outlineLevel="0" collapsed="false">
      <c r="B10" s="67" t="n">
        <v>1</v>
      </c>
      <c r="C10" s="67" t="s">
        <v>85</v>
      </c>
      <c r="D10" s="68" t="s">
        <v>241</v>
      </c>
      <c r="E10" s="69" t="s">
        <v>11</v>
      </c>
      <c r="F10" s="69"/>
      <c r="G10" s="73" t="s">
        <v>96</v>
      </c>
      <c r="H10" s="71" t="n">
        <v>5</v>
      </c>
      <c r="I10" s="72" t="n">
        <f aca="false">SUM(K10:T10)</f>
        <v>5</v>
      </c>
      <c r="J10" s="72" t="n">
        <v>5</v>
      </c>
      <c r="K10" s="31" t="n">
        <v>2</v>
      </c>
      <c r="L10" s="31" t="n">
        <v>0</v>
      </c>
      <c r="M10" s="31" t="n">
        <v>1</v>
      </c>
      <c r="N10" s="31" t="n">
        <v>0</v>
      </c>
      <c r="O10" s="31" t="n">
        <v>1</v>
      </c>
      <c r="P10" s="31" t="n">
        <v>0</v>
      </c>
      <c r="Q10" s="31" t="n">
        <v>1</v>
      </c>
      <c r="R10" s="31" t="n">
        <v>0</v>
      </c>
      <c r="S10" s="31" t="n">
        <v>0</v>
      </c>
      <c r="T10" s="31" t="n">
        <v>0</v>
      </c>
    </row>
    <row r="11" customFormat="false" ht="13.5" hidden="false" customHeight="true" outlineLevel="0" collapsed="false">
      <c r="B11" s="67" t="n">
        <v>1</v>
      </c>
      <c r="C11" s="67" t="s">
        <v>90</v>
      </c>
      <c r="D11" s="67" t="s">
        <v>242</v>
      </c>
      <c r="E11" s="69" t="s">
        <v>13</v>
      </c>
      <c r="F11" s="41"/>
      <c r="G11" s="73" t="s">
        <v>96</v>
      </c>
      <c r="H11" s="71" t="n">
        <v>3</v>
      </c>
      <c r="I11" s="72" t="n">
        <f aca="false">SUM(K11:T11)</f>
        <v>3</v>
      </c>
      <c r="J11" s="72" t="n">
        <v>3</v>
      </c>
      <c r="K11" s="31" t="n">
        <v>2</v>
      </c>
      <c r="L11" s="31" t="n">
        <v>0</v>
      </c>
      <c r="M11" s="31" t="n">
        <v>0</v>
      </c>
      <c r="N11" s="31" t="n">
        <v>0</v>
      </c>
      <c r="O11" s="31" t="n">
        <v>0</v>
      </c>
      <c r="P11" s="31" t="n">
        <v>0</v>
      </c>
      <c r="Q11" s="31" t="n">
        <v>0</v>
      </c>
      <c r="R11" s="31" t="n">
        <v>0</v>
      </c>
      <c r="S11" s="31" t="n">
        <v>1</v>
      </c>
      <c r="T11" s="31" t="n">
        <v>0</v>
      </c>
    </row>
    <row r="12" customFormat="false" ht="27" hidden="false" customHeight="true" outlineLevel="0" collapsed="false">
      <c r="B12" s="67" t="n">
        <v>1</v>
      </c>
      <c r="C12" s="67" t="s">
        <v>97</v>
      </c>
      <c r="D12" s="67" t="s">
        <v>243</v>
      </c>
      <c r="E12" s="69" t="s">
        <v>244</v>
      </c>
      <c r="F12" s="69" t="s">
        <v>21</v>
      </c>
      <c r="G12" s="74" t="s">
        <v>96</v>
      </c>
      <c r="H12" s="71" t="n">
        <v>5</v>
      </c>
      <c r="I12" s="72" t="n">
        <f aca="false">SUM(K12:T12)</f>
        <v>4</v>
      </c>
      <c r="J12" s="72" t="n">
        <v>5</v>
      </c>
      <c r="K12" s="31" t="n">
        <v>3</v>
      </c>
      <c r="L12" s="31" t="n">
        <v>0</v>
      </c>
      <c r="M12" s="31" t="n">
        <v>1</v>
      </c>
      <c r="N12" s="31" t="n">
        <v>0</v>
      </c>
      <c r="O12" s="31" t="n">
        <v>0</v>
      </c>
      <c r="P12" s="31" t="n">
        <v>0</v>
      </c>
      <c r="Q12" s="31" t="n">
        <v>0</v>
      </c>
      <c r="R12" s="31" t="n">
        <v>0</v>
      </c>
      <c r="S12" s="31" t="n">
        <v>0</v>
      </c>
      <c r="T12" s="31" t="n">
        <v>0</v>
      </c>
    </row>
    <row r="13" customFormat="false" ht="27" hidden="false" customHeight="true" outlineLevel="0" collapsed="false">
      <c r="B13" s="67" t="n">
        <v>1</v>
      </c>
      <c r="C13" s="67" t="s">
        <v>101</v>
      </c>
      <c r="D13" s="67" t="s">
        <v>245</v>
      </c>
      <c r="E13" s="69" t="s">
        <v>246</v>
      </c>
      <c r="F13" s="41"/>
      <c r="G13" s="75" t="s">
        <v>96</v>
      </c>
      <c r="H13" s="71" t="n">
        <v>8</v>
      </c>
      <c r="I13" s="72" t="n">
        <f aca="false">SUM(K13:T13)</f>
        <v>8</v>
      </c>
      <c r="J13" s="72" t="n">
        <v>8</v>
      </c>
      <c r="K13" s="31" t="n">
        <v>3</v>
      </c>
      <c r="L13" s="31" t="n">
        <v>0</v>
      </c>
      <c r="M13" s="31" t="n">
        <v>0</v>
      </c>
      <c r="N13" s="31" t="n">
        <v>0</v>
      </c>
      <c r="O13" s="31" t="n">
        <v>1</v>
      </c>
      <c r="P13" s="31" t="n">
        <v>0</v>
      </c>
      <c r="Q13" s="31" t="n">
        <v>0</v>
      </c>
      <c r="R13" s="31" t="n">
        <v>4</v>
      </c>
      <c r="S13" s="31" t="n">
        <v>0</v>
      </c>
      <c r="T13" s="31" t="n">
        <v>0</v>
      </c>
    </row>
    <row r="14" customFormat="false" ht="32.25" hidden="false" customHeight="true" outlineLevel="0" collapsed="false">
      <c r="B14" s="67" t="n">
        <v>1</v>
      </c>
      <c r="C14" s="67" t="s">
        <v>106</v>
      </c>
      <c r="D14" s="41" t="s">
        <v>247</v>
      </c>
      <c r="E14" s="69" t="s">
        <v>246</v>
      </c>
      <c r="F14" s="69"/>
      <c r="G14" s="75" t="s">
        <v>96</v>
      </c>
      <c r="H14" s="71" t="n">
        <v>5</v>
      </c>
      <c r="I14" s="72" t="n">
        <f aca="false">SUM(K14:T14)</f>
        <v>5</v>
      </c>
      <c r="J14" s="72" t="n">
        <v>5</v>
      </c>
      <c r="K14" s="31" t="n">
        <v>3</v>
      </c>
      <c r="L14" s="31" t="n">
        <v>0</v>
      </c>
      <c r="M14" s="31" t="n">
        <v>1</v>
      </c>
      <c r="N14" s="31" t="n">
        <v>0</v>
      </c>
      <c r="O14" s="31" t="n">
        <v>0</v>
      </c>
      <c r="P14" s="31" t="n">
        <v>0</v>
      </c>
      <c r="Q14" s="31" t="n">
        <v>0</v>
      </c>
      <c r="R14" s="31" t="n">
        <v>1</v>
      </c>
      <c r="S14" s="31" t="n">
        <v>0</v>
      </c>
      <c r="T14" s="31" t="n">
        <v>0</v>
      </c>
    </row>
    <row r="15" customFormat="false" ht="18" hidden="false" customHeight="true" outlineLevel="0" collapsed="false">
      <c r="B15" s="67" t="n">
        <v>1</v>
      </c>
      <c r="C15" s="67" t="s">
        <v>110</v>
      </c>
      <c r="D15" s="67" t="s">
        <v>248</v>
      </c>
      <c r="E15" s="69" t="s">
        <v>13</v>
      </c>
      <c r="F15" s="69"/>
      <c r="G15" s="73" t="s">
        <v>96</v>
      </c>
      <c r="H15" s="71" t="n">
        <v>8</v>
      </c>
      <c r="I15" s="72" t="n">
        <f aca="false">SUM(K15:T15)</f>
        <v>8</v>
      </c>
      <c r="J15" s="72" t="n">
        <f aca="false">H15-I15</f>
        <v>0</v>
      </c>
      <c r="K15" s="31" t="n">
        <v>3</v>
      </c>
      <c r="L15" s="31" t="n">
        <v>0</v>
      </c>
      <c r="M15" s="31" t="n">
        <v>1</v>
      </c>
      <c r="N15" s="31" t="n">
        <v>0</v>
      </c>
      <c r="O15" s="31" t="n">
        <v>0</v>
      </c>
      <c r="P15" s="31" t="n">
        <v>0</v>
      </c>
      <c r="Q15" s="31" t="n">
        <v>4</v>
      </c>
      <c r="R15" s="31" t="n">
        <v>0</v>
      </c>
      <c r="S15" s="31" t="n">
        <v>0</v>
      </c>
      <c r="T15" s="31" t="n">
        <v>0</v>
      </c>
    </row>
    <row r="16" s="27" customFormat="true" ht="27.75" hidden="false" customHeight="true" outlineLevel="0" collapsed="false">
      <c r="B16" s="67" t="n">
        <v>1</v>
      </c>
      <c r="C16" s="67" t="s">
        <v>117</v>
      </c>
      <c r="D16" s="67" t="s">
        <v>249</v>
      </c>
      <c r="E16" s="69" t="s">
        <v>244</v>
      </c>
      <c r="F16" s="69" t="s">
        <v>21</v>
      </c>
      <c r="G16" s="76" t="s">
        <v>96</v>
      </c>
      <c r="H16" s="77" t="n">
        <v>5</v>
      </c>
      <c r="I16" s="78" t="n">
        <f aca="false">SUM(K16:T16)</f>
        <v>5</v>
      </c>
      <c r="J16" s="78" t="n">
        <f aca="false">H16-I16</f>
        <v>0</v>
      </c>
      <c r="K16" s="67" t="n">
        <v>2</v>
      </c>
      <c r="L16" s="67" t="n">
        <v>0</v>
      </c>
      <c r="M16" s="67" t="n">
        <v>1</v>
      </c>
      <c r="N16" s="67" t="n">
        <v>0</v>
      </c>
      <c r="O16" s="67" t="n">
        <v>1</v>
      </c>
      <c r="P16" s="67" t="n">
        <v>0</v>
      </c>
      <c r="Q16" s="67" t="n">
        <v>0</v>
      </c>
      <c r="R16" s="67" t="n">
        <v>0</v>
      </c>
      <c r="S16" s="67" t="n">
        <v>0</v>
      </c>
      <c r="T16" s="67" t="n">
        <v>1</v>
      </c>
    </row>
    <row r="17" customFormat="false" ht="33.75" hidden="false" customHeight="true" outlineLevel="0" collapsed="false">
      <c r="B17" s="41" t="n">
        <v>2</v>
      </c>
      <c r="C17" s="67" t="s">
        <v>122</v>
      </c>
      <c r="D17" s="68" t="s">
        <v>250</v>
      </c>
      <c r="E17" s="69" t="s">
        <v>18</v>
      </c>
      <c r="F17" s="27"/>
      <c r="G17" s="70" t="s">
        <v>129</v>
      </c>
      <c r="H17" s="71" t="n">
        <v>5</v>
      </c>
      <c r="I17" s="72" t="n">
        <f aca="false">SUM(K17:T17)</f>
        <v>0</v>
      </c>
      <c r="J17" s="72" t="n">
        <f aca="false">H17-I17</f>
        <v>5</v>
      </c>
      <c r="K17" s="31"/>
      <c r="L17" s="31"/>
      <c r="M17" s="31"/>
      <c r="N17" s="31"/>
      <c r="O17" s="31"/>
      <c r="P17" s="31"/>
      <c r="Q17" s="31"/>
      <c r="R17" s="31"/>
      <c r="S17" s="31"/>
      <c r="T17" s="31"/>
    </row>
    <row r="18" customFormat="false" ht="33.75" hidden="false" customHeight="true" outlineLevel="0" collapsed="false">
      <c r="B18" s="41" t="n">
        <v>2</v>
      </c>
      <c r="C18" s="67" t="s">
        <v>130</v>
      </c>
      <c r="D18" s="68" t="s">
        <v>251</v>
      </c>
      <c r="E18" s="69" t="s">
        <v>21</v>
      </c>
      <c r="F18" s="27"/>
      <c r="G18" s="70" t="s">
        <v>129</v>
      </c>
      <c r="H18" s="71" t="n">
        <v>5</v>
      </c>
      <c r="I18" s="72" t="n">
        <f aca="false">SUM(K18:T18)</f>
        <v>0</v>
      </c>
      <c r="J18" s="72" t="n">
        <v>0</v>
      </c>
      <c r="K18" s="31"/>
      <c r="L18" s="31"/>
      <c r="M18" s="31"/>
      <c r="N18" s="31"/>
      <c r="O18" s="31"/>
      <c r="P18" s="31"/>
      <c r="Q18" s="31"/>
      <c r="R18" s="31"/>
      <c r="S18" s="31"/>
      <c r="T18" s="31"/>
    </row>
    <row r="19" customFormat="false" ht="33.75" hidden="false" customHeight="true" outlineLevel="0" collapsed="false">
      <c r="B19" s="41" t="n">
        <v>2</v>
      </c>
      <c r="C19" s="67" t="s">
        <v>135</v>
      </c>
      <c r="D19" s="68" t="s">
        <v>252</v>
      </c>
      <c r="E19" s="69" t="s">
        <v>11</v>
      </c>
      <c r="F19" s="27"/>
      <c r="G19" s="70" t="s">
        <v>129</v>
      </c>
      <c r="H19" s="71" t="n">
        <v>5</v>
      </c>
      <c r="I19" s="72" t="n">
        <f aca="false">SUM(K19:T19)</f>
        <v>0</v>
      </c>
      <c r="J19" s="72" t="n">
        <f aca="false">H19-I19</f>
        <v>5</v>
      </c>
      <c r="K19" s="31"/>
      <c r="L19" s="31"/>
      <c r="M19" s="31"/>
      <c r="N19" s="31"/>
      <c r="O19" s="31"/>
      <c r="P19" s="31"/>
      <c r="Q19" s="31"/>
      <c r="R19" s="31"/>
      <c r="S19" s="31"/>
      <c r="T19" s="31"/>
    </row>
    <row r="20" customFormat="false" ht="33.75" hidden="false" customHeight="true" outlineLevel="0" collapsed="false">
      <c r="B20" s="41" t="n">
        <v>2</v>
      </c>
      <c r="C20" s="67" t="s">
        <v>163</v>
      </c>
      <c r="D20" s="68" t="s">
        <v>253</v>
      </c>
      <c r="E20" s="69" t="s">
        <v>11</v>
      </c>
      <c r="F20" s="27"/>
      <c r="G20" s="70" t="s">
        <v>129</v>
      </c>
      <c r="H20" s="71" t="n">
        <v>8</v>
      </c>
      <c r="I20" s="72" t="n">
        <f aca="false">SUM(K20:T20)</f>
        <v>0</v>
      </c>
      <c r="J20" s="72" t="n">
        <f aca="false">H20-I20</f>
        <v>8</v>
      </c>
      <c r="K20" s="31"/>
      <c r="L20" s="31"/>
      <c r="M20" s="31"/>
      <c r="N20" s="31"/>
      <c r="O20" s="31"/>
      <c r="P20" s="31"/>
      <c r="Q20" s="31"/>
      <c r="R20" s="31"/>
      <c r="S20" s="31"/>
      <c r="T20" s="31"/>
    </row>
    <row r="21" customFormat="false" ht="33.75" hidden="false" customHeight="true" outlineLevel="0" collapsed="false">
      <c r="B21" s="41" t="n">
        <v>2</v>
      </c>
      <c r="C21" s="67" t="s">
        <v>169</v>
      </c>
      <c r="D21" s="68" t="s">
        <v>254</v>
      </c>
      <c r="E21" s="69" t="s">
        <v>13</v>
      </c>
      <c r="F21" s="27"/>
      <c r="G21" s="70" t="s">
        <v>129</v>
      </c>
      <c r="H21" s="71" t="n">
        <v>5</v>
      </c>
      <c r="I21" s="72" t="n">
        <f aca="false">SUM(K21:T21)</f>
        <v>0</v>
      </c>
      <c r="J21" s="72" t="n">
        <f aca="false">H21-I21</f>
        <v>5</v>
      </c>
      <c r="K21" s="31"/>
      <c r="L21" s="31"/>
      <c r="M21" s="31"/>
      <c r="N21" s="31"/>
      <c r="O21" s="31"/>
      <c r="P21" s="31"/>
      <c r="Q21" s="31"/>
      <c r="R21" s="31"/>
      <c r="S21" s="31"/>
      <c r="T21" s="31"/>
    </row>
    <row r="22" customFormat="false" ht="12.75" hidden="false" customHeight="true" outlineLevel="0" collapsed="false">
      <c r="B22" s="31"/>
      <c r="C22" s="31"/>
      <c r="D22" s="31"/>
      <c r="E22" s="31"/>
      <c r="F22" s="31"/>
      <c r="G22" s="31"/>
      <c r="H22" s="31"/>
      <c r="I22" s="72" t="n">
        <f aca="false">SUM(K22:T22)</f>
        <v>0</v>
      </c>
      <c r="J22" s="72" t="n">
        <f aca="false">H22-I22</f>
        <v>0</v>
      </c>
      <c r="K22" s="31"/>
      <c r="L22" s="31"/>
      <c r="M22" s="31"/>
      <c r="N22" s="31"/>
      <c r="O22" s="31"/>
      <c r="P22" s="31"/>
      <c r="Q22" s="31"/>
      <c r="R22" s="31"/>
      <c r="S22" s="31"/>
      <c r="T22" s="31"/>
    </row>
    <row r="23" customFormat="false" ht="12.75" hidden="false" customHeight="true" outlineLevel="0" collapsed="false">
      <c r="B23" s="31"/>
      <c r="C23" s="31"/>
      <c r="D23" s="31"/>
      <c r="E23" s="31"/>
      <c r="F23" s="31"/>
      <c r="G23" s="31"/>
      <c r="H23" s="31"/>
      <c r="I23" s="72" t="n">
        <f aca="false">SUM(K23:T23)</f>
        <v>0</v>
      </c>
      <c r="J23" s="72" t="n">
        <f aca="false">H23-I23</f>
        <v>0</v>
      </c>
      <c r="K23" s="31"/>
      <c r="L23" s="31"/>
      <c r="M23" s="31"/>
      <c r="N23" s="31"/>
      <c r="O23" s="31"/>
      <c r="P23" s="31"/>
      <c r="Q23" s="31"/>
      <c r="R23" s="31"/>
      <c r="S23" s="31"/>
      <c r="T23" s="31"/>
    </row>
    <row r="24" customFormat="false" ht="12.75" hidden="false" customHeight="true" outlineLevel="0" collapsed="false">
      <c r="B24" s="31"/>
      <c r="C24" s="31"/>
      <c r="D24" s="31"/>
      <c r="E24" s="31"/>
      <c r="F24" s="31"/>
      <c r="G24" s="31"/>
      <c r="H24" s="31"/>
      <c r="I24" s="72" t="n">
        <f aca="false">SUM(K24:T24)</f>
        <v>0</v>
      </c>
      <c r="J24" s="72" t="n">
        <f aca="false">H24-I24</f>
        <v>0</v>
      </c>
      <c r="K24" s="31"/>
      <c r="L24" s="31"/>
      <c r="M24" s="31"/>
      <c r="N24" s="31"/>
      <c r="O24" s="31"/>
      <c r="P24" s="31"/>
      <c r="Q24" s="31"/>
      <c r="R24" s="31"/>
      <c r="S24" s="31"/>
      <c r="T24" s="31"/>
    </row>
    <row r="25" customFormat="false" ht="12.75" hidden="false" customHeight="true" outlineLevel="0" collapsed="false">
      <c r="B25" s="31"/>
      <c r="C25" s="31"/>
      <c r="D25" s="31"/>
      <c r="E25" s="31"/>
      <c r="F25" s="31"/>
      <c r="G25" s="31"/>
      <c r="H25" s="31"/>
      <c r="I25" s="72" t="n">
        <f aca="false">SUM(K25:T25)</f>
        <v>0</v>
      </c>
      <c r="J25" s="72" t="n">
        <f aca="false">H25-I25</f>
        <v>0</v>
      </c>
      <c r="K25" s="31"/>
      <c r="L25" s="31"/>
      <c r="M25" s="31"/>
      <c r="N25" s="31"/>
      <c r="O25" s="31"/>
      <c r="P25" s="31"/>
      <c r="Q25" s="31"/>
      <c r="R25" s="31"/>
      <c r="S25" s="31"/>
      <c r="T25" s="31"/>
    </row>
    <row r="26" customFormat="false" ht="12.75" hidden="false" customHeight="true" outlineLevel="0" collapsed="false">
      <c r="B26" s="31"/>
      <c r="C26" s="31"/>
      <c r="D26" s="31"/>
      <c r="E26" s="31"/>
      <c r="F26" s="31"/>
      <c r="G26" s="31"/>
      <c r="H26" s="31"/>
      <c r="I26" s="72" t="n">
        <f aca="false">SUM(K26:T26)</f>
        <v>0</v>
      </c>
      <c r="J26" s="72" t="n">
        <f aca="false">H26-I26</f>
        <v>0</v>
      </c>
      <c r="K26" s="31"/>
      <c r="L26" s="31"/>
      <c r="M26" s="31"/>
      <c r="N26" s="31"/>
      <c r="O26" s="31"/>
      <c r="P26" s="31"/>
      <c r="Q26" s="31"/>
      <c r="R26" s="31"/>
      <c r="S26" s="31"/>
      <c r="T26" s="31"/>
    </row>
    <row r="27" customFormat="false" ht="12.75" hidden="false" customHeight="true" outlineLevel="0" collapsed="false">
      <c r="B27" s="31"/>
      <c r="C27" s="31"/>
      <c r="D27" s="31"/>
      <c r="E27" s="31"/>
      <c r="F27" s="31"/>
      <c r="G27" s="31"/>
      <c r="H27" s="31"/>
      <c r="I27" s="72" t="n">
        <f aca="false">SUM(K27:T27)</f>
        <v>0</v>
      </c>
      <c r="J27" s="72" t="n">
        <f aca="false">H27-I27</f>
        <v>0</v>
      </c>
      <c r="K27" s="31"/>
      <c r="L27" s="31"/>
      <c r="M27" s="31"/>
      <c r="N27" s="31"/>
      <c r="O27" s="31"/>
      <c r="P27" s="31"/>
      <c r="Q27" s="31"/>
      <c r="R27" s="31"/>
      <c r="S27" s="31"/>
      <c r="T27" s="31"/>
    </row>
    <row r="28" customFormat="false" ht="12.75" hidden="false" customHeight="true" outlineLevel="0" collapsed="false">
      <c r="B28" s="31"/>
      <c r="C28" s="31"/>
      <c r="D28" s="31"/>
      <c r="E28" s="31"/>
      <c r="F28" s="31"/>
      <c r="G28" s="31"/>
      <c r="H28" s="31"/>
      <c r="I28" s="72" t="n">
        <f aca="false">SUM(K28:T28)</f>
        <v>0</v>
      </c>
      <c r="J28" s="72" t="n">
        <f aca="false">H28-I28</f>
        <v>0</v>
      </c>
      <c r="K28" s="31"/>
      <c r="L28" s="31"/>
      <c r="M28" s="31"/>
      <c r="N28" s="31"/>
      <c r="O28" s="31"/>
      <c r="P28" s="31"/>
      <c r="Q28" s="31"/>
      <c r="R28" s="31"/>
      <c r="S28" s="31"/>
      <c r="T28" s="31"/>
    </row>
    <row r="29" customFormat="false" ht="12.75" hidden="false" customHeight="true" outlineLevel="0" collapsed="false">
      <c r="B29" s="31"/>
      <c r="C29" s="31"/>
      <c r="D29" s="31"/>
      <c r="E29" s="31"/>
      <c r="F29" s="31"/>
      <c r="G29" s="31"/>
      <c r="H29" s="31"/>
      <c r="I29" s="72" t="n">
        <f aca="false">SUM(K29:T29)</f>
        <v>0</v>
      </c>
      <c r="J29" s="72" t="n">
        <f aca="false">H29-I29</f>
        <v>0</v>
      </c>
      <c r="K29" s="31"/>
      <c r="L29" s="31"/>
      <c r="M29" s="31"/>
      <c r="N29" s="31"/>
      <c r="O29" s="31"/>
      <c r="P29" s="31"/>
      <c r="Q29" s="31"/>
      <c r="R29" s="31"/>
      <c r="S29" s="31"/>
      <c r="T29" s="31"/>
    </row>
    <row r="30" customFormat="false" ht="12.75" hidden="false" customHeight="true" outlineLevel="0" collapsed="false">
      <c r="B30" s="31"/>
      <c r="C30" s="31"/>
      <c r="D30" s="31"/>
      <c r="E30" s="31"/>
      <c r="F30" s="31"/>
      <c r="G30" s="31"/>
      <c r="H30" s="31"/>
      <c r="I30" s="72" t="n">
        <f aca="false">SUM(K30:T30)</f>
        <v>0</v>
      </c>
      <c r="J30" s="72" t="n">
        <f aca="false">H30-I30</f>
        <v>0</v>
      </c>
      <c r="K30" s="31"/>
      <c r="L30" s="31"/>
      <c r="M30" s="31"/>
      <c r="N30" s="31"/>
      <c r="O30" s="31"/>
      <c r="P30" s="31"/>
      <c r="Q30" s="31"/>
      <c r="R30" s="31"/>
      <c r="S30" s="31"/>
      <c r="T30" s="31"/>
    </row>
    <row r="31" customFormat="false" ht="12.75" hidden="false" customHeight="true" outlineLevel="0" collapsed="false">
      <c r="B31" s="31"/>
      <c r="C31" s="31"/>
      <c r="D31" s="31"/>
      <c r="E31" s="31"/>
      <c r="F31" s="31"/>
      <c r="G31" s="31"/>
      <c r="H31" s="31"/>
      <c r="I31" s="72" t="n">
        <f aca="false">SUM(K31:T31)</f>
        <v>0</v>
      </c>
      <c r="J31" s="72" t="n">
        <f aca="false">H31-I31</f>
        <v>0</v>
      </c>
      <c r="K31" s="31"/>
      <c r="L31" s="31"/>
      <c r="M31" s="31"/>
      <c r="N31" s="31"/>
      <c r="O31" s="31"/>
      <c r="P31" s="31"/>
      <c r="Q31" s="31"/>
      <c r="R31" s="31"/>
      <c r="S31" s="31"/>
      <c r="T31" s="31"/>
    </row>
    <row r="32" customFormat="false" ht="12.75" hidden="false" customHeight="true" outlineLevel="0" collapsed="false">
      <c r="B32" s="31"/>
      <c r="C32" s="31"/>
      <c r="D32" s="31"/>
      <c r="E32" s="31"/>
      <c r="F32" s="31"/>
      <c r="G32" s="31"/>
      <c r="H32" s="31"/>
      <c r="I32" s="72" t="n">
        <f aca="false">SUM(K32:T32)</f>
        <v>0</v>
      </c>
      <c r="J32" s="72" t="n">
        <f aca="false">H32-I32</f>
        <v>0</v>
      </c>
      <c r="K32" s="31"/>
      <c r="L32" s="31"/>
      <c r="M32" s="31"/>
      <c r="N32" s="31"/>
      <c r="O32" s="31"/>
      <c r="P32" s="31"/>
      <c r="Q32" s="31"/>
      <c r="R32" s="31"/>
      <c r="S32" s="31"/>
      <c r="T32" s="31"/>
    </row>
    <row r="33" customFormat="false" ht="12.75" hidden="false" customHeight="true" outlineLevel="0" collapsed="false">
      <c r="B33" s="31"/>
      <c r="C33" s="31"/>
      <c r="D33" s="31"/>
      <c r="E33" s="31"/>
      <c r="F33" s="31"/>
      <c r="G33" s="31"/>
      <c r="H33" s="31"/>
      <c r="I33" s="72" t="n">
        <f aca="false">SUM(K33:T33)</f>
        <v>0</v>
      </c>
      <c r="J33" s="72" t="n">
        <f aca="false">H33-I33</f>
        <v>0</v>
      </c>
      <c r="K33" s="31"/>
      <c r="L33" s="31"/>
      <c r="M33" s="31"/>
      <c r="N33" s="31"/>
      <c r="O33" s="31"/>
      <c r="P33" s="31"/>
      <c r="Q33" s="31"/>
      <c r="R33" s="31"/>
      <c r="S33" s="31"/>
      <c r="T33" s="31"/>
    </row>
    <row r="34" customFormat="false" ht="12.75" hidden="false" customHeight="true" outlineLevel="0" collapsed="false">
      <c r="B34" s="31"/>
      <c r="C34" s="31"/>
      <c r="D34" s="31"/>
      <c r="E34" s="31"/>
      <c r="F34" s="31"/>
      <c r="G34" s="31"/>
      <c r="H34" s="31"/>
      <c r="I34" s="72" t="n">
        <f aca="false">SUM(K34:T34)</f>
        <v>0</v>
      </c>
      <c r="J34" s="72" t="n">
        <f aca="false">H34-I34</f>
        <v>0</v>
      </c>
      <c r="K34" s="31"/>
      <c r="L34" s="31"/>
      <c r="M34" s="31"/>
      <c r="N34" s="31"/>
      <c r="O34" s="31"/>
      <c r="P34" s="31"/>
      <c r="Q34" s="31"/>
      <c r="R34" s="31"/>
      <c r="S34" s="31"/>
      <c r="T34" s="31"/>
    </row>
    <row r="35" customFormat="false" ht="12.75" hidden="false" customHeight="true" outlineLevel="0" collapsed="false">
      <c r="B35" s="31"/>
      <c r="C35" s="31"/>
      <c r="D35" s="31"/>
      <c r="E35" s="31"/>
      <c r="F35" s="31"/>
      <c r="G35" s="31"/>
      <c r="H35" s="31"/>
      <c r="I35" s="72" t="n">
        <f aca="false">SUM(K35:T35)</f>
        <v>0</v>
      </c>
      <c r="J35" s="72" t="n">
        <f aca="false">H35-I35</f>
        <v>0</v>
      </c>
      <c r="K35" s="31"/>
      <c r="L35" s="31"/>
      <c r="M35" s="31"/>
      <c r="N35" s="31"/>
      <c r="O35" s="31"/>
      <c r="P35" s="31"/>
      <c r="Q35" s="31"/>
      <c r="R35" s="31"/>
      <c r="S35" s="31"/>
      <c r="T35" s="31"/>
    </row>
    <row r="36" customFormat="false" ht="12.75" hidden="false" customHeight="true" outlineLevel="0" collapsed="false">
      <c r="B36" s="31"/>
      <c r="C36" s="31"/>
      <c r="D36" s="31"/>
      <c r="E36" s="31"/>
      <c r="F36" s="31"/>
      <c r="G36" s="31"/>
      <c r="H36" s="31"/>
      <c r="I36" s="72" t="n">
        <f aca="false">SUM(K36:T36)</f>
        <v>0</v>
      </c>
      <c r="J36" s="72" t="n">
        <f aca="false">H36-I36</f>
        <v>0</v>
      </c>
      <c r="K36" s="31"/>
      <c r="L36" s="31"/>
      <c r="M36" s="31"/>
      <c r="N36" s="31"/>
      <c r="O36" s="31"/>
      <c r="P36" s="31"/>
      <c r="Q36" s="31"/>
      <c r="R36" s="31"/>
      <c r="S36" s="31"/>
      <c r="T36" s="31"/>
    </row>
    <row r="37" customFormat="false" ht="12.75" hidden="false" customHeight="true" outlineLevel="0" collapsed="false">
      <c r="B37" s="31"/>
      <c r="C37" s="31"/>
      <c r="D37" s="31"/>
      <c r="E37" s="31"/>
      <c r="F37" s="31"/>
      <c r="G37" s="31"/>
      <c r="H37" s="31"/>
      <c r="I37" s="72" t="n">
        <f aca="false">SUM(K37:T37)</f>
        <v>0</v>
      </c>
      <c r="J37" s="72" t="n">
        <f aca="false">H37-I37</f>
        <v>0</v>
      </c>
      <c r="K37" s="31"/>
      <c r="L37" s="31"/>
      <c r="M37" s="31"/>
      <c r="N37" s="31"/>
      <c r="O37" s="31"/>
      <c r="P37" s="31"/>
      <c r="Q37" s="31"/>
      <c r="R37" s="31"/>
      <c r="S37" s="31"/>
      <c r="T37" s="31"/>
    </row>
    <row r="38" customFormat="false" ht="12.75" hidden="false" customHeight="true" outlineLevel="0" collapsed="false">
      <c r="B38" s="79"/>
      <c r="C38" s="79"/>
      <c r="D38" s="79"/>
      <c r="E38" s="79"/>
      <c r="F38" s="72"/>
      <c r="G38" s="72"/>
      <c r="H38" s="72"/>
      <c r="I38" s="72"/>
      <c r="J38" s="72"/>
      <c r="K38" s="72"/>
      <c r="L38" s="72"/>
      <c r="M38" s="72"/>
      <c r="N38" s="72"/>
      <c r="O38" s="72"/>
      <c r="P38" s="72"/>
      <c r="Q38" s="72"/>
      <c r="R38" s="72"/>
      <c r="S38" s="72"/>
    </row>
    <row r="39" customFormat="false" ht="12.75" hidden="false" customHeight="true" outlineLevel="0" collapsed="false">
      <c r="B39" s="80"/>
      <c r="C39" s="80"/>
      <c r="D39" s="80"/>
      <c r="E39" s="80"/>
      <c r="F39" s="81" t="s">
        <v>255</v>
      </c>
      <c r="G39" s="82" t="n">
        <f aca="false">SUBTOTAL(9,H7:H36)</f>
        <v>78</v>
      </c>
      <c r="H39" s="82" t="n">
        <f aca="false">SUBTOTAL(9,I7:I36)</f>
        <v>49</v>
      </c>
      <c r="I39" s="82" t="n">
        <f aca="false">SUBTOTAL(9,J7:J36)</f>
        <v>57</v>
      </c>
      <c r="J39" s="82" t="n">
        <f aca="false">SUBTOTAL(9,K7:K36)</f>
        <v>22</v>
      </c>
      <c r="K39" s="82" t="n">
        <f aca="false">SUBTOTAL(9,L7:L36)</f>
        <v>0</v>
      </c>
      <c r="L39" s="82" t="n">
        <f aca="false">SUBTOTAL(9,M7:M36)</f>
        <v>6</v>
      </c>
      <c r="M39" s="82" t="n">
        <f aca="false">SUBTOTAL(9,N7:N36)</f>
        <v>2</v>
      </c>
      <c r="N39" s="82" t="n">
        <f aca="false">SUBTOTAL(9,O7:O36)</f>
        <v>4</v>
      </c>
      <c r="O39" s="82" t="n">
        <f aca="false">SUBTOTAL(9,P7:P36)</f>
        <v>0</v>
      </c>
      <c r="P39" s="82" t="n">
        <f aca="false">SUBTOTAL(9,Q7:Q36)</f>
        <v>6</v>
      </c>
      <c r="Q39" s="82" t="n">
        <f aca="false">SUBTOTAL(9,R7:R36)</f>
        <v>5</v>
      </c>
      <c r="R39" s="82" t="n">
        <f aca="false">SUBTOTAL(9,S7:S36)</f>
        <v>2</v>
      </c>
      <c r="S39" s="82" t="n">
        <f aca="false">SUBTOTAL(9,T7:T36)</f>
        <v>2</v>
      </c>
    </row>
    <row r="40" customFormat="false" ht="12.75" hidden="false" customHeight="true" outlineLevel="0" collapsed="false">
      <c r="B40" s="80"/>
      <c r="C40" s="80"/>
      <c r="D40" s="80"/>
      <c r="E40" s="80"/>
      <c r="F40" s="81" t="s">
        <v>256</v>
      </c>
      <c r="G40" s="82"/>
      <c r="H40" s="82"/>
      <c r="I40" s="82"/>
      <c r="J40" s="82" t="n">
        <f aca="false">G39-J39</f>
        <v>56</v>
      </c>
      <c r="K40" s="82" t="n">
        <f aca="false">J40-K39</f>
        <v>56</v>
      </c>
      <c r="L40" s="82" t="n">
        <f aca="false">K40-L39</f>
        <v>50</v>
      </c>
      <c r="M40" s="82" t="n">
        <f aca="false">L40-M39</f>
        <v>48</v>
      </c>
      <c r="N40" s="82" t="n">
        <f aca="false">M40-N39</f>
        <v>44</v>
      </c>
      <c r="O40" s="82" t="n">
        <f aca="false">N40-O39</f>
        <v>44</v>
      </c>
      <c r="P40" s="82" t="n">
        <f aca="false">O40-P39</f>
        <v>38</v>
      </c>
      <c r="Q40" s="82" t="n">
        <f aca="false">P40-Q39</f>
        <v>33</v>
      </c>
      <c r="R40" s="82" t="n">
        <f aca="false">Q40-R39</f>
        <v>31</v>
      </c>
      <c r="S40" s="82" t="n">
        <f aca="false">R40-S39</f>
        <v>29</v>
      </c>
    </row>
    <row r="41" customFormat="false" ht="12.75" hidden="false" customHeight="true" outlineLevel="0" collapsed="false">
      <c r="B41" s="80"/>
      <c r="C41" s="80"/>
      <c r="D41" s="80"/>
      <c r="E41" s="80"/>
      <c r="F41" s="81" t="s">
        <v>257</v>
      </c>
      <c r="G41" s="82"/>
      <c r="H41" s="82"/>
      <c r="I41" s="82"/>
      <c r="J41" s="82" t="n">
        <f aca="false">J39</f>
        <v>22</v>
      </c>
      <c r="K41" s="82" t="n">
        <f aca="false">J41+K39</f>
        <v>22</v>
      </c>
      <c r="L41" s="82" t="n">
        <f aca="false">K41+L39</f>
        <v>28</v>
      </c>
      <c r="M41" s="82" t="n">
        <f aca="false">L41+M39</f>
        <v>30</v>
      </c>
      <c r="N41" s="82" t="n">
        <f aca="false">M41+N39</f>
        <v>34</v>
      </c>
      <c r="O41" s="82" t="n">
        <f aca="false">N41+O39</f>
        <v>34</v>
      </c>
      <c r="P41" s="82" t="n">
        <f aca="false">O41+P39</f>
        <v>40</v>
      </c>
      <c r="Q41" s="82" t="n">
        <f aca="false">P41+Q39</f>
        <v>45</v>
      </c>
      <c r="R41" s="82" t="n">
        <f aca="false">Q41+R39</f>
        <v>47</v>
      </c>
      <c r="S41" s="82" t="n">
        <f aca="false">R41+S39</f>
        <v>49</v>
      </c>
    </row>
    <row r="42" customFormat="false" ht="12.75" hidden="false" customHeight="true" outlineLevel="0" collapsed="false">
      <c r="B42" s="83"/>
      <c r="C42" s="83"/>
      <c r="D42" s="83"/>
      <c r="E42" s="83"/>
      <c r="F42" s="83"/>
      <c r="G42" s="83"/>
      <c r="H42" s="83"/>
      <c r="I42" s="83"/>
      <c r="J42" s="83"/>
      <c r="K42" s="83"/>
      <c r="L42" s="83"/>
      <c r="M42" s="83"/>
      <c r="N42" s="83"/>
      <c r="O42" s="83"/>
      <c r="P42" s="83"/>
      <c r="Q42" s="83"/>
      <c r="R42" s="83"/>
      <c r="S42" s="83"/>
    </row>
  </sheetData>
  <autoFilter ref="B7:S7"/>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966"/>
    <pageSetUpPr fitToPage="true"/>
  </sheetPr>
  <dimension ref="B5: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8.74609375" defaultRowHeight="12.75" zeroHeight="false" outlineLevelRow="0" outlineLevelCol="0"/>
  <cols>
    <col collapsed="false" customWidth="true" hidden="false" outlineLevel="0" max="1" min="1" style="1" width="5.43"/>
    <col collapsed="false" customWidth="true" hidden="false" outlineLevel="0" max="2" min="2" style="1" width="9.14"/>
    <col collapsed="false" customWidth="true" hidden="false" outlineLevel="0" max="3" min="3" style="1" width="22.41"/>
    <col collapsed="false" customWidth="true" hidden="false" outlineLevel="0" max="4" min="4" style="1" width="15"/>
    <col collapsed="false" customWidth="true" hidden="false" outlineLevel="0" max="5" min="5" style="1" width="13.29"/>
    <col collapsed="false" customWidth="true" hidden="false" outlineLevel="0" max="6" min="6" style="1" width="14"/>
    <col collapsed="false" customWidth="true" hidden="false" outlineLevel="0" max="7" min="7" style="1" width="19.85"/>
    <col collapsed="false" customWidth="true" hidden="false" outlineLevel="0" max="9" min="8" style="1" width="17.72"/>
    <col collapsed="false" customWidth="true" hidden="false" outlineLevel="0" max="10" min="10" style="1" width="49.29"/>
    <col collapsed="false" customWidth="true" hidden="false" outlineLevel="0" max="11" min="11" style="1" width="12.14"/>
    <col collapsed="false" customWidth="true" hidden="false" outlineLevel="0" max="12" min="12" style="1" width="46.71"/>
  </cols>
  <sheetData>
    <row r="5" customFormat="false" ht="18" hidden="false" customHeight="true" outlineLevel="0" collapsed="false">
      <c r="B5" s="2" t="s">
        <v>258</v>
      </c>
    </row>
    <row r="6" customFormat="false" ht="18" hidden="false" customHeight="true" outlineLevel="0" collapsed="false">
      <c r="B6" s="2"/>
    </row>
    <row r="7" customFormat="false" ht="12.75" hidden="false" customHeight="true" outlineLevel="0" collapsed="false">
      <c r="B7" s="64" t="s">
        <v>32</v>
      </c>
      <c r="C7" s="64" t="s">
        <v>33</v>
      </c>
      <c r="D7" s="64" t="s">
        <v>259</v>
      </c>
      <c r="E7" s="64" t="s">
        <v>260</v>
      </c>
      <c r="F7" s="64" t="s">
        <v>261</v>
      </c>
      <c r="G7" s="64" t="s">
        <v>262</v>
      </c>
      <c r="H7" s="64" t="s">
        <v>67</v>
      </c>
      <c r="I7" s="64" t="s">
        <v>36</v>
      </c>
      <c r="J7" s="64" t="s">
        <v>263</v>
      </c>
      <c r="K7" s="64" t="s">
        <v>264</v>
      </c>
      <c r="L7" s="64" t="s">
        <v>37</v>
      </c>
    </row>
    <row r="8" customFormat="false" ht="12.75" hidden="false" customHeight="true" outlineLevel="0" collapsed="false">
      <c r="B8" s="15" t="s">
        <v>265</v>
      </c>
      <c r="C8" s="15" t="s">
        <v>266</v>
      </c>
      <c r="D8" s="15" t="s">
        <v>267</v>
      </c>
      <c r="E8" s="84" t="n">
        <v>46280</v>
      </c>
      <c r="F8" s="15" t="s">
        <v>268</v>
      </c>
      <c r="G8" s="15" t="s">
        <v>269</v>
      </c>
      <c r="H8" s="15" t="s">
        <v>267</v>
      </c>
      <c r="I8" s="15" t="s">
        <v>270</v>
      </c>
      <c r="J8" s="15" t="s">
        <v>271</v>
      </c>
      <c r="K8" s="84" t="n">
        <v>46281</v>
      </c>
      <c r="L8" s="15" t="s">
        <v>272</v>
      </c>
    </row>
    <row r="9" customFormat="false" ht="12.75" hidden="false" customHeight="true" outlineLevel="0" collapsed="false">
      <c r="B9" s="15" t="s">
        <v>273</v>
      </c>
      <c r="C9" s="15" t="s">
        <v>274</v>
      </c>
      <c r="D9" s="15" t="s">
        <v>275</v>
      </c>
      <c r="E9" s="84" t="n">
        <v>46282</v>
      </c>
      <c r="F9" s="15" t="s">
        <v>276</v>
      </c>
      <c r="G9" s="15" t="s">
        <v>269</v>
      </c>
      <c r="H9" s="15" t="s">
        <v>267</v>
      </c>
      <c r="I9" s="15" t="s">
        <v>270</v>
      </c>
      <c r="J9" s="15" t="s">
        <v>277</v>
      </c>
      <c r="K9" s="84" t="n">
        <v>46283</v>
      </c>
      <c r="L9" s="15" t="s">
        <v>278</v>
      </c>
    </row>
    <row r="10" customFormat="false" ht="12.75" hidden="false" customHeight="true" outlineLevel="0" collapsed="false">
      <c r="B10" s="1" t="s">
        <v>279</v>
      </c>
      <c r="C10" s="15" t="s">
        <v>280</v>
      </c>
      <c r="D10" s="15" t="s">
        <v>275</v>
      </c>
      <c r="E10" s="84" t="n">
        <v>46283</v>
      </c>
      <c r="F10" s="15" t="s">
        <v>276</v>
      </c>
      <c r="G10" s="15" t="s">
        <v>281</v>
      </c>
      <c r="H10" s="15" t="s">
        <v>275</v>
      </c>
      <c r="I10" s="15" t="s">
        <v>282</v>
      </c>
      <c r="J10" s="15" t="s">
        <v>283</v>
      </c>
      <c r="K10" s="84" t="n">
        <v>46285</v>
      </c>
      <c r="L10" s="15" t="s">
        <v>284</v>
      </c>
    </row>
    <row r="11" customFormat="false" ht="12.75" hidden="false" customHeight="true" outlineLevel="0" collapsed="false">
      <c r="B11" s="1" t="s">
        <v>285</v>
      </c>
      <c r="C11" s="15" t="s">
        <v>286</v>
      </c>
      <c r="D11" s="15" t="s">
        <v>11</v>
      </c>
      <c r="E11" s="84" t="n">
        <v>46286</v>
      </c>
      <c r="F11" s="15" t="s">
        <v>276</v>
      </c>
      <c r="G11" s="15" t="s">
        <v>287</v>
      </c>
      <c r="H11" s="15" t="s">
        <v>11</v>
      </c>
      <c r="I11" s="15" t="s">
        <v>282</v>
      </c>
      <c r="J11" s="15" t="s">
        <v>288</v>
      </c>
      <c r="K11" s="84" t="n">
        <v>46288</v>
      </c>
      <c r="L11" s="15" t="s">
        <v>289</v>
      </c>
    </row>
    <row r="12" customFormat="false" ht="12.75" hidden="false" customHeight="true" outlineLevel="0" collapsed="false">
      <c r="B12" s="15"/>
      <c r="C12" s="15"/>
      <c r="D12" s="15"/>
      <c r="E12" s="15"/>
      <c r="F12" s="15"/>
      <c r="G12" s="15"/>
      <c r="H12" s="15"/>
      <c r="I12" s="15"/>
      <c r="J12" s="15"/>
      <c r="K12" s="15"/>
      <c r="L12" s="15"/>
    </row>
    <row r="13" customFormat="false" ht="12.75" hidden="false" customHeight="true" outlineLevel="0" collapsed="false">
      <c r="B13" s="15"/>
      <c r="C13" s="15"/>
      <c r="D13" s="15"/>
      <c r="E13" s="15"/>
      <c r="F13" s="15"/>
      <c r="G13" s="15"/>
      <c r="H13" s="15"/>
      <c r="I13" s="15"/>
      <c r="J13" s="15"/>
      <c r="K13" s="15"/>
      <c r="L13" s="15"/>
    </row>
    <row r="14" customFormat="false" ht="12.75" hidden="false" customHeight="true" outlineLevel="0" collapsed="false">
      <c r="B14" s="15"/>
      <c r="C14" s="15"/>
      <c r="D14" s="15"/>
      <c r="E14" s="15"/>
      <c r="F14" s="15"/>
      <c r="G14" s="15"/>
      <c r="H14" s="15"/>
      <c r="I14" s="15"/>
      <c r="J14" s="15"/>
      <c r="K14" s="15"/>
      <c r="L14" s="15"/>
    </row>
    <row r="15" customFormat="false" ht="12.75" hidden="false" customHeight="true" outlineLevel="0" collapsed="false">
      <c r="B15" s="15"/>
      <c r="C15" s="15"/>
      <c r="D15" s="15"/>
      <c r="E15" s="15"/>
      <c r="F15" s="15"/>
      <c r="G15" s="15"/>
      <c r="H15" s="15"/>
      <c r="I15" s="15"/>
      <c r="J15" s="15"/>
      <c r="K15" s="15"/>
      <c r="L15" s="15"/>
    </row>
    <row r="16" customFormat="false" ht="12.75" hidden="false" customHeight="true" outlineLevel="0" collapsed="false">
      <c r="B16" s="15"/>
      <c r="C16" s="15"/>
      <c r="D16" s="15"/>
      <c r="E16" s="15"/>
      <c r="F16" s="15"/>
      <c r="G16" s="15"/>
      <c r="H16" s="15"/>
      <c r="I16" s="15"/>
      <c r="J16" s="15"/>
      <c r="K16" s="15"/>
      <c r="L16" s="15"/>
    </row>
    <row r="17" customFormat="false" ht="12.75" hidden="false" customHeight="true" outlineLevel="0" collapsed="false">
      <c r="B17" s="15"/>
      <c r="C17" s="15"/>
      <c r="D17" s="15"/>
      <c r="E17" s="15"/>
      <c r="F17" s="15"/>
      <c r="G17" s="15"/>
      <c r="H17" s="15"/>
      <c r="I17" s="15"/>
      <c r="J17" s="15"/>
      <c r="K17" s="15"/>
      <c r="L17" s="15"/>
    </row>
    <row r="18" customFormat="false" ht="12.75" hidden="false" customHeight="true" outlineLevel="0" collapsed="false">
      <c r="B18" s="15"/>
      <c r="C18" s="15"/>
      <c r="D18" s="15"/>
      <c r="E18" s="15"/>
      <c r="F18" s="15"/>
      <c r="G18" s="15"/>
      <c r="H18" s="15"/>
      <c r="I18" s="15"/>
      <c r="J18" s="15"/>
      <c r="K18" s="15"/>
      <c r="L18" s="15"/>
    </row>
    <row r="19" customFormat="false" ht="12.75" hidden="false" customHeight="true" outlineLevel="0" collapsed="false">
      <c r="B19" s="15"/>
      <c r="C19" s="15"/>
      <c r="D19" s="15"/>
      <c r="E19" s="15"/>
      <c r="F19" s="15"/>
      <c r="G19" s="15"/>
      <c r="H19" s="15"/>
      <c r="I19" s="15"/>
      <c r="J19" s="15"/>
      <c r="K19" s="15"/>
      <c r="L19" s="15"/>
    </row>
    <row r="20" customFormat="false" ht="12.75" hidden="false" customHeight="true" outlineLevel="0" collapsed="false">
      <c r="B20" s="15"/>
      <c r="C20" s="15"/>
      <c r="D20" s="15"/>
      <c r="E20" s="15"/>
      <c r="F20" s="15"/>
      <c r="G20" s="15"/>
      <c r="H20" s="15"/>
      <c r="I20" s="15"/>
      <c r="J20" s="15"/>
      <c r="K20" s="15"/>
      <c r="L20" s="15"/>
    </row>
    <row r="21" customFormat="false" ht="12.75" hidden="false" customHeight="true" outlineLevel="0" collapsed="false">
      <c r="B21" s="15"/>
      <c r="C21" s="15"/>
      <c r="D21" s="15"/>
      <c r="E21" s="15"/>
      <c r="F21" s="15"/>
      <c r="G21" s="15"/>
      <c r="H21" s="15"/>
      <c r="I21" s="15"/>
      <c r="J21" s="15"/>
      <c r="K21" s="15"/>
      <c r="L21" s="15"/>
    </row>
    <row r="22" customFormat="false" ht="12.75" hidden="false" customHeight="true" outlineLevel="0" collapsed="false">
      <c r="B22" s="15"/>
      <c r="C22" s="15"/>
      <c r="D22" s="15"/>
      <c r="E22" s="15"/>
      <c r="F22" s="15"/>
      <c r="G22" s="15"/>
      <c r="H22" s="15"/>
      <c r="I22" s="15"/>
      <c r="J22" s="15"/>
      <c r="K22" s="15"/>
      <c r="L22" s="15"/>
    </row>
    <row r="23" customFormat="false" ht="12.75" hidden="false" customHeight="true" outlineLevel="0" collapsed="false">
      <c r="B23" s="15"/>
      <c r="C23" s="15"/>
      <c r="D23" s="15"/>
      <c r="E23" s="15"/>
      <c r="F23" s="15"/>
      <c r="G23" s="15"/>
      <c r="H23" s="15"/>
      <c r="I23" s="15"/>
      <c r="J23" s="15"/>
      <c r="K23" s="15"/>
      <c r="L23" s="15"/>
    </row>
    <row r="24" customFormat="false" ht="12.75" hidden="false" customHeight="true" outlineLevel="0" collapsed="false">
      <c r="B24" s="15"/>
      <c r="C24" s="15"/>
      <c r="D24" s="15"/>
      <c r="E24" s="15"/>
      <c r="F24" s="15"/>
      <c r="G24" s="15"/>
      <c r="H24" s="15"/>
      <c r="I24" s="15"/>
      <c r="J24" s="15"/>
      <c r="K24" s="15"/>
      <c r="L24" s="15"/>
    </row>
    <row r="25" customFormat="false" ht="12.75" hidden="false" customHeight="true" outlineLevel="0" collapsed="false">
      <c r="B25" s="15"/>
      <c r="C25" s="15"/>
      <c r="D25" s="15"/>
      <c r="E25" s="15"/>
      <c r="F25" s="15"/>
      <c r="G25" s="15"/>
      <c r="H25" s="15"/>
      <c r="I25" s="15"/>
      <c r="J25" s="15"/>
      <c r="K25" s="15"/>
      <c r="L25" s="15"/>
    </row>
    <row r="26" customFormat="false" ht="12.75" hidden="false" customHeight="true" outlineLevel="0" collapsed="false">
      <c r="B26" s="15"/>
      <c r="C26" s="15"/>
      <c r="D26" s="15"/>
      <c r="E26" s="15"/>
      <c r="F26" s="15"/>
      <c r="G26" s="15"/>
      <c r="H26" s="15"/>
      <c r="I26" s="15"/>
      <c r="J26" s="15"/>
      <c r="K26" s="15"/>
      <c r="L26" s="15"/>
    </row>
    <row r="27" customFormat="false" ht="12.75" hidden="false" customHeight="true" outlineLevel="0" collapsed="false">
      <c r="B27" s="15"/>
      <c r="C27" s="15"/>
      <c r="D27" s="15"/>
      <c r="E27" s="15"/>
      <c r="F27" s="15"/>
      <c r="G27" s="15"/>
      <c r="H27" s="15"/>
      <c r="I27" s="15"/>
      <c r="J27" s="15"/>
      <c r="K27" s="15"/>
      <c r="L27" s="15"/>
    </row>
    <row r="28" customFormat="false" ht="12.75" hidden="false" customHeight="true" outlineLevel="0" collapsed="false">
      <c r="B28" s="15"/>
      <c r="C28" s="15"/>
      <c r="D28" s="15"/>
      <c r="E28" s="15"/>
      <c r="F28" s="15"/>
      <c r="G28" s="15"/>
      <c r="H28" s="15"/>
      <c r="I28" s="15"/>
      <c r="J28" s="15"/>
      <c r="K28" s="15"/>
      <c r="L28" s="15"/>
    </row>
    <row r="29" customFormat="false" ht="12.75" hidden="false" customHeight="true" outlineLevel="0" collapsed="false">
      <c r="B29" s="15"/>
      <c r="C29" s="15"/>
      <c r="D29" s="15"/>
      <c r="E29" s="15"/>
      <c r="F29" s="15"/>
      <c r="G29" s="15"/>
      <c r="H29" s="15"/>
      <c r="I29" s="15"/>
      <c r="J29" s="15"/>
      <c r="K29" s="15"/>
      <c r="L29" s="15"/>
    </row>
    <row r="30" customFormat="false" ht="12.75" hidden="false" customHeight="true" outlineLevel="0" collapsed="false">
      <c r="B30" s="15"/>
      <c r="C30" s="15"/>
      <c r="D30" s="15"/>
      <c r="E30" s="15"/>
      <c r="F30" s="15"/>
      <c r="G30" s="15"/>
      <c r="H30" s="15"/>
      <c r="I30" s="15"/>
      <c r="J30" s="15"/>
      <c r="K30" s="15"/>
      <c r="L30" s="15"/>
    </row>
    <row r="31" customFormat="false" ht="12.75" hidden="false" customHeight="true" outlineLevel="0" collapsed="false">
      <c r="B31" s="15"/>
      <c r="C31" s="15"/>
      <c r="D31" s="15"/>
      <c r="E31" s="15"/>
      <c r="F31" s="15"/>
      <c r="G31" s="15"/>
      <c r="H31" s="15"/>
      <c r="I31" s="15"/>
      <c r="J31" s="15"/>
      <c r="K31" s="15"/>
      <c r="L31" s="15"/>
    </row>
    <row r="32" customFormat="false" ht="12.75" hidden="false" customHeight="true" outlineLevel="0" collapsed="false">
      <c r="B32" s="15"/>
      <c r="C32" s="15"/>
      <c r="D32" s="15"/>
      <c r="E32" s="15"/>
      <c r="F32" s="15"/>
      <c r="G32" s="15"/>
      <c r="H32" s="15"/>
      <c r="I32" s="15"/>
      <c r="J32" s="15"/>
      <c r="K32" s="15"/>
      <c r="L32" s="15"/>
    </row>
    <row r="33" customFormat="false" ht="12.75" hidden="false" customHeight="true" outlineLevel="0" collapsed="false">
      <c r="B33" s="15"/>
      <c r="C33" s="15"/>
      <c r="D33" s="15"/>
      <c r="E33" s="15"/>
      <c r="F33" s="15"/>
      <c r="G33" s="15"/>
      <c r="H33" s="15"/>
      <c r="I33" s="15"/>
      <c r="J33" s="15"/>
      <c r="K33" s="15"/>
      <c r="L33" s="15"/>
    </row>
    <row r="34" customFormat="false" ht="12.75" hidden="false" customHeight="true" outlineLevel="0" collapsed="false">
      <c r="B34" s="15"/>
      <c r="C34" s="15"/>
      <c r="D34" s="15"/>
      <c r="E34" s="15"/>
      <c r="F34" s="15"/>
      <c r="G34" s="15"/>
      <c r="H34" s="15"/>
      <c r="I34" s="15"/>
      <c r="J34" s="15"/>
      <c r="K34" s="15"/>
      <c r="L34" s="15"/>
    </row>
    <row r="35" customFormat="false" ht="12.75" hidden="false" customHeight="true" outlineLevel="0" collapsed="false">
      <c r="B35" s="15"/>
      <c r="C35" s="15"/>
      <c r="D35" s="15"/>
      <c r="E35" s="15"/>
      <c r="F35" s="15"/>
      <c r="G35" s="15"/>
      <c r="H35" s="15"/>
      <c r="I35" s="15"/>
      <c r="J35" s="15"/>
      <c r="K35" s="15"/>
      <c r="L35" s="15"/>
    </row>
    <row r="36" customFormat="false" ht="12.75" hidden="false" customHeight="true" outlineLevel="0" collapsed="false">
      <c r="B36" s="15"/>
      <c r="C36" s="15"/>
      <c r="D36" s="15"/>
      <c r="E36" s="15"/>
      <c r="F36" s="15"/>
      <c r="G36" s="15"/>
      <c r="H36" s="15"/>
      <c r="I36" s="15"/>
      <c r="J36" s="15"/>
      <c r="K36" s="15"/>
      <c r="L36" s="15"/>
    </row>
    <row r="37" customFormat="false" ht="12.75" hidden="false" customHeight="true" outlineLevel="0" collapsed="false">
      <c r="B37" s="15"/>
      <c r="C37" s="15"/>
      <c r="D37" s="15"/>
      <c r="E37" s="15"/>
      <c r="F37" s="15"/>
      <c r="G37" s="15"/>
      <c r="H37" s="15"/>
      <c r="I37" s="15"/>
      <c r="J37" s="15"/>
      <c r="K37" s="15"/>
      <c r="L37" s="15"/>
    </row>
    <row r="38" customFormat="false" ht="12.75" hidden="false" customHeight="true" outlineLevel="0" collapsed="false">
      <c r="B38" s="15"/>
      <c r="C38" s="15"/>
      <c r="D38" s="15"/>
      <c r="E38" s="15"/>
      <c r="F38" s="15"/>
      <c r="G38" s="15"/>
      <c r="H38" s="15"/>
      <c r="I38" s="15"/>
      <c r="J38" s="15"/>
      <c r="K38" s="15"/>
      <c r="L38" s="15"/>
    </row>
    <row r="39" customFormat="false" ht="12.75" hidden="false" customHeight="true" outlineLevel="0" collapsed="false">
      <c r="B39" s="15"/>
      <c r="C39" s="15"/>
      <c r="D39" s="15"/>
      <c r="E39" s="15"/>
      <c r="F39" s="15"/>
      <c r="G39" s="15"/>
      <c r="H39" s="15"/>
      <c r="I39" s="15"/>
      <c r="J39" s="15"/>
      <c r="K39" s="15"/>
      <c r="L39" s="15"/>
    </row>
    <row r="40" customFormat="false" ht="12.75" hidden="false" customHeight="true" outlineLevel="0" collapsed="false">
      <c r="B40" s="15"/>
      <c r="C40" s="15"/>
      <c r="D40" s="15"/>
      <c r="E40" s="15"/>
      <c r="F40" s="15"/>
      <c r="G40" s="15"/>
      <c r="H40" s="15"/>
      <c r="I40" s="15"/>
      <c r="J40" s="15"/>
      <c r="K40" s="15"/>
      <c r="L40" s="15"/>
    </row>
    <row r="41" customFormat="false" ht="12.75" hidden="false" customHeight="true" outlineLevel="0" collapsed="false">
      <c r="B41" s="15"/>
      <c r="C41" s="15"/>
      <c r="D41" s="15"/>
      <c r="E41" s="15"/>
      <c r="F41" s="15"/>
      <c r="G41" s="15"/>
      <c r="H41" s="15"/>
      <c r="I41" s="15"/>
      <c r="J41" s="15"/>
      <c r="K41" s="15"/>
      <c r="L41" s="15"/>
    </row>
    <row r="42" customFormat="false" ht="12.75" hidden="false" customHeight="true" outlineLevel="0" collapsed="false">
      <c r="B42" s="15"/>
      <c r="C42" s="15"/>
      <c r="D42" s="15"/>
      <c r="E42" s="15"/>
      <c r="F42" s="15"/>
      <c r="G42" s="15"/>
      <c r="H42" s="15"/>
      <c r="I42" s="15"/>
      <c r="J42" s="15"/>
      <c r="K42" s="15"/>
      <c r="L42" s="15"/>
    </row>
    <row r="43" customFormat="false" ht="12.75" hidden="false" customHeight="true" outlineLevel="0" collapsed="false">
      <c r="B43" s="15"/>
      <c r="C43" s="15"/>
      <c r="D43" s="15"/>
      <c r="E43" s="15"/>
      <c r="F43" s="15"/>
      <c r="G43" s="15"/>
      <c r="H43" s="15"/>
      <c r="I43" s="15"/>
      <c r="J43" s="15"/>
      <c r="K43" s="15"/>
      <c r="L43" s="15"/>
    </row>
    <row r="44" customFormat="false" ht="12.75" hidden="false" customHeight="true" outlineLevel="0" collapsed="false">
      <c r="B44" s="15"/>
      <c r="C44" s="15"/>
      <c r="D44" s="15"/>
      <c r="E44" s="15"/>
      <c r="F44" s="15"/>
      <c r="G44" s="15"/>
      <c r="H44" s="15"/>
      <c r="I44" s="15"/>
      <c r="J44" s="15"/>
      <c r="K44" s="15"/>
      <c r="L44" s="15"/>
    </row>
  </sheetData>
  <autoFilter ref="B7:L7"/>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C9C9"/>
    <pageSetUpPr fitToPage="true"/>
  </sheetPr>
  <dimension ref="B5: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8.74609375" defaultRowHeight="12.75" zeroHeight="false" outlineLevelRow="0" outlineLevelCol="0"/>
  <cols>
    <col collapsed="false" customWidth="true" hidden="false" outlineLevel="0" max="3" min="3" style="1" width="13.43"/>
    <col collapsed="false" customWidth="true" hidden="false" outlineLevel="0" max="4" min="4" style="1" width="14"/>
    <col collapsed="false" customWidth="true" hidden="false" outlineLevel="0" max="8" min="5" style="1" width="54.43"/>
  </cols>
  <sheetData>
    <row r="5" customFormat="false" ht="18" hidden="false" customHeight="true" outlineLevel="0" collapsed="false">
      <c r="B5" s="2" t="s">
        <v>290</v>
      </c>
    </row>
    <row r="6" customFormat="false" ht="18" hidden="false" customHeight="true" outlineLevel="0" collapsed="false">
      <c r="B6" s="2"/>
    </row>
    <row r="7" customFormat="false" ht="12.75" hidden="false" customHeight="true" outlineLevel="0" collapsed="false">
      <c r="B7" s="64" t="s">
        <v>261</v>
      </c>
      <c r="C7" s="64" t="s">
        <v>291</v>
      </c>
      <c r="D7" s="64" t="s">
        <v>67</v>
      </c>
      <c r="E7" s="64" t="s">
        <v>292</v>
      </c>
      <c r="F7" s="64" t="s">
        <v>293</v>
      </c>
      <c r="G7" s="64" t="s">
        <v>294</v>
      </c>
      <c r="H7" s="64" t="s">
        <v>37</v>
      </c>
    </row>
    <row r="8" customFormat="false" ht="12.75" hidden="false" customHeight="true" outlineLevel="0" collapsed="false">
      <c r="B8" s="15" t="s">
        <v>268</v>
      </c>
      <c r="C8" s="85" t="n">
        <v>46294</v>
      </c>
      <c r="D8" s="15" t="s">
        <v>267</v>
      </c>
      <c r="E8" s="15" t="s">
        <v>295</v>
      </c>
      <c r="F8" s="15" t="s">
        <v>296</v>
      </c>
      <c r="G8" s="15" t="s">
        <v>297</v>
      </c>
      <c r="H8" s="15" t="s">
        <v>298</v>
      </c>
    </row>
    <row r="9" customFormat="false" ht="12.75" hidden="false" customHeight="true" outlineLevel="0" collapsed="false">
      <c r="B9" s="15" t="s">
        <v>268</v>
      </c>
      <c r="C9" s="84" t="n">
        <v>46294</v>
      </c>
      <c r="D9" s="15" t="s">
        <v>11</v>
      </c>
      <c r="E9" s="15" t="s">
        <v>299</v>
      </c>
      <c r="F9" s="15" t="s">
        <v>300</v>
      </c>
      <c r="G9" s="15" t="s">
        <v>301</v>
      </c>
      <c r="H9" s="15" t="s">
        <v>302</v>
      </c>
    </row>
    <row r="10" customFormat="false" ht="12.75" hidden="false" customHeight="true" outlineLevel="0" collapsed="false">
      <c r="B10" s="15" t="s">
        <v>268</v>
      </c>
      <c r="C10" s="84" t="n">
        <v>46294</v>
      </c>
      <c r="D10" s="15" t="s">
        <v>13</v>
      </c>
      <c r="E10" s="15" t="s">
        <v>303</v>
      </c>
      <c r="F10" s="15" t="s">
        <v>300</v>
      </c>
      <c r="G10" s="15" t="s">
        <v>301</v>
      </c>
      <c r="H10" s="15" t="s">
        <v>304</v>
      </c>
    </row>
    <row r="11" customFormat="false" ht="12.75" hidden="false" customHeight="true" outlineLevel="0" collapsed="false">
      <c r="B11" s="86" t="s">
        <v>268</v>
      </c>
      <c r="C11" s="84" t="n">
        <v>46294</v>
      </c>
      <c r="D11" s="15" t="s">
        <v>246</v>
      </c>
      <c r="E11" s="15" t="s">
        <v>305</v>
      </c>
      <c r="F11" s="15" t="s">
        <v>300</v>
      </c>
      <c r="G11" s="15" t="s">
        <v>301</v>
      </c>
      <c r="H11" s="15" t="s">
        <v>306</v>
      </c>
    </row>
    <row r="12" customFormat="false" ht="12.75" hidden="false" customHeight="true" outlineLevel="0" collapsed="false">
      <c r="B12" s="86" t="s">
        <v>268</v>
      </c>
      <c r="C12" s="84" t="n">
        <v>46294</v>
      </c>
      <c r="D12" s="15" t="s">
        <v>21</v>
      </c>
      <c r="E12" s="15" t="s">
        <v>307</v>
      </c>
      <c r="F12" s="15" t="s">
        <v>308</v>
      </c>
      <c r="G12" s="15" t="s">
        <v>309</v>
      </c>
      <c r="H12" s="15" t="s">
        <v>310</v>
      </c>
    </row>
    <row r="13" customFormat="false" ht="12.75" hidden="false" customHeight="true" outlineLevel="0" collapsed="false">
      <c r="B13" s="15"/>
      <c r="C13" s="15"/>
      <c r="D13" s="15"/>
      <c r="E13" s="15"/>
      <c r="F13" s="15"/>
      <c r="G13" s="15"/>
      <c r="H13" s="15"/>
    </row>
    <row r="14" customFormat="false" ht="12.75" hidden="false" customHeight="true" outlineLevel="0" collapsed="false">
      <c r="B14" s="15"/>
      <c r="C14" s="15"/>
      <c r="D14" s="15"/>
      <c r="E14" s="15"/>
      <c r="F14" s="15"/>
      <c r="G14" s="15"/>
      <c r="H14" s="15"/>
    </row>
    <row r="15" customFormat="false" ht="12.75" hidden="false" customHeight="true" outlineLevel="0" collapsed="false">
      <c r="B15" s="15"/>
      <c r="C15" s="15"/>
      <c r="D15" s="15"/>
      <c r="E15" s="15"/>
      <c r="F15" s="15"/>
      <c r="G15" s="15"/>
      <c r="H15" s="15"/>
    </row>
    <row r="16" customFormat="false" ht="12.75" hidden="false" customHeight="true" outlineLevel="0" collapsed="false">
      <c r="B16" s="15"/>
      <c r="C16" s="15"/>
      <c r="D16" s="15"/>
      <c r="E16" s="15"/>
      <c r="F16" s="15"/>
      <c r="G16" s="15"/>
      <c r="H16" s="15"/>
    </row>
    <row r="17" customFormat="false" ht="12.75" hidden="false" customHeight="true" outlineLevel="0" collapsed="false">
      <c r="B17" s="15"/>
      <c r="C17" s="15"/>
      <c r="D17" s="15"/>
      <c r="E17" s="15"/>
      <c r="F17" s="15"/>
      <c r="G17" s="15"/>
      <c r="H17" s="15"/>
    </row>
    <row r="18" customFormat="false" ht="12.75" hidden="false" customHeight="true" outlineLevel="0" collapsed="false">
      <c r="B18" s="15"/>
      <c r="C18" s="15"/>
      <c r="D18" s="15"/>
      <c r="E18" s="15"/>
      <c r="F18" s="15"/>
      <c r="G18" s="15"/>
      <c r="H18" s="15"/>
    </row>
    <row r="19" customFormat="false" ht="12.75" hidden="false" customHeight="true" outlineLevel="0" collapsed="false">
      <c r="B19" s="15"/>
      <c r="C19" s="15"/>
      <c r="D19" s="15"/>
      <c r="E19" s="15"/>
      <c r="F19" s="15"/>
      <c r="G19" s="15"/>
      <c r="H19" s="15"/>
    </row>
    <row r="20" customFormat="false" ht="12.75" hidden="false" customHeight="true" outlineLevel="0" collapsed="false">
      <c r="B20" s="15"/>
      <c r="C20" s="15"/>
      <c r="D20" s="15"/>
      <c r="E20" s="15"/>
      <c r="F20" s="15"/>
      <c r="G20" s="15"/>
      <c r="H20" s="15"/>
    </row>
    <row r="21" customFormat="false" ht="12.75" hidden="false" customHeight="true" outlineLevel="0" collapsed="false">
      <c r="B21" s="15"/>
      <c r="C21" s="15"/>
      <c r="D21" s="15"/>
      <c r="E21" s="15"/>
      <c r="F21" s="15"/>
      <c r="G21" s="15"/>
      <c r="H21" s="15"/>
    </row>
    <row r="22" customFormat="false" ht="12.75" hidden="false" customHeight="true" outlineLevel="0" collapsed="false">
      <c r="B22" s="15"/>
      <c r="C22" s="15"/>
      <c r="D22" s="15"/>
      <c r="E22" s="15"/>
      <c r="F22" s="15"/>
      <c r="G22" s="15"/>
      <c r="H22" s="15"/>
    </row>
    <row r="23" customFormat="false" ht="12.75" hidden="false" customHeight="true" outlineLevel="0" collapsed="false">
      <c r="B23" s="15"/>
      <c r="C23" s="15"/>
      <c r="D23" s="15"/>
      <c r="E23" s="15"/>
      <c r="F23" s="15"/>
      <c r="G23" s="15"/>
      <c r="H23" s="15"/>
    </row>
    <row r="24" customFormat="false" ht="12.75" hidden="false" customHeight="true" outlineLevel="0" collapsed="false">
      <c r="B24" s="15"/>
      <c r="C24" s="15"/>
      <c r="D24" s="15"/>
      <c r="E24" s="15"/>
      <c r="F24" s="15"/>
      <c r="G24" s="15"/>
      <c r="H24" s="15"/>
    </row>
    <row r="25" customFormat="false" ht="12.75" hidden="false" customHeight="true" outlineLevel="0" collapsed="false">
      <c r="B25" s="15"/>
      <c r="C25" s="15"/>
      <c r="D25" s="15"/>
      <c r="E25" s="15"/>
      <c r="F25" s="15"/>
      <c r="G25" s="15"/>
      <c r="H25" s="15"/>
    </row>
    <row r="26" customFormat="false" ht="12.75" hidden="false" customHeight="true" outlineLevel="0" collapsed="false">
      <c r="B26" s="15"/>
      <c r="C26" s="15"/>
      <c r="D26" s="15"/>
      <c r="E26" s="15"/>
      <c r="F26" s="15"/>
      <c r="G26" s="15"/>
      <c r="H26" s="15"/>
    </row>
    <row r="27" customFormat="false" ht="12.75" hidden="false" customHeight="true" outlineLevel="0" collapsed="false">
      <c r="B27" s="15"/>
      <c r="C27" s="15"/>
      <c r="D27" s="15"/>
      <c r="E27" s="15"/>
      <c r="F27" s="15"/>
      <c r="G27" s="15"/>
      <c r="H27" s="15"/>
    </row>
    <row r="28" customFormat="false" ht="12.75" hidden="false" customHeight="true" outlineLevel="0" collapsed="false">
      <c r="B28" s="15"/>
      <c r="C28" s="15"/>
      <c r="D28" s="15"/>
      <c r="E28" s="15"/>
      <c r="F28" s="15"/>
      <c r="G28" s="15"/>
      <c r="H28" s="15"/>
    </row>
    <row r="29" customFormat="false" ht="12.75" hidden="false" customHeight="true" outlineLevel="0" collapsed="false">
      <c r="B29" s="15"/>
      <c r="C29" s="15"/>
      <c r="D29" s="15"/>
      <c r="E29" s="15"/>
      <c r="F29" s="15"/>
      <c r="G29" s="15"/>
      <c r="H29" s="15"/>
    </row>
    <row r="30" customFormat="false" ht="12.75" hidden="false" customHeight="true" outlineLevel="0" collapsed="false">
      <c r="B30" s="15"/>
      <c r="C30" s="15"/>
      <c r="D30" s="15"/>
      <c r="E30" s="15"/>
      <c r="F30" s="15"/>
      <c r="G30" s="15"/>
      <c r="H30" s="15"/>
    </row>
    <row r="31" customFormat="false" ht="12.75" hidden="false" customHeight="true" outlineLevel="0" collapsed="false">
      <c r="B31" s="15"/>
      <c r="C31" s="15"/>
      <c r="D31" s="15"/>
      <c r="E31" s="15"/>
      <c r="F31" s="15"/>
      <c r="G31" s="15"/>
      <c r="H31" s="15"/>
    </row>
    <row r="32" customFormat="false" ht="12.75" hidden="false" customHeight="true" outlineLevel="0" collapsed="false">
      <c r="B32" s="15"/>
      <c r="C32" s="15"/>
      <c r="D32" s="15"/>
      <c r="E32" s="15"/>
      <c r="F32" s="15"/>
      <c r="G32" s="15"/>
      <c r="H32" s="15"/>
    </row>
    <row r="33" customFormat="false" ht="12.75" hidden="false" customHeight="true" outlineLevel="0" collapsed="false">
      <c r="B33" s="15"/>
      <c r="C33" s="15"/>
      <c r="D33" s="15"/>
      <c r="E33" s="15"/>
      <c r="F33" s="15"/>
      <c r="G33" s="15"/>
      <c r="H33" s="15"/>
    </row>
    <row r="34" customFormat="false" ht="12.75" hidden="false" customHeight="true" outlineLevel="0" collapsed="false">
      <c r="B34" s="15"/>
      <c r="C34" s="15"/>
      <c r="D34" s="15"/>
      <c r="E34" s="15"/>
      <c r="F34" s="15"/>
      <c r="G34" s="15"/>
      <c r="H34" s="15"/>
    </row>
    <row r="35" customFormat="false" ht="12.75" hidden="false" customHeight="true" outlineLevel="0" collapsed="false">
      <c r="B35" s="15"/>
      <c r="C35" s="15"/>
      <c r="D35" s="15"/>
      <c r="E35" s="15"/>
      <c r="F35" s="15"/>
      <c r="G35" s="15"/>
      <c r="H35" s="15"/>
    </row>
    <row r="36" customFormat="false" ht="12.75" hidden="false" customHeight="true" outlineLevel="0" collapsed="false">
      <c r="B36" s="15"/>
      <c r="C36" s="15"/>
      <c r="D36" s="15"/>
      <c r="E36" s="15"/>
      <c r="F36" s="15"/>
      <c r="G36" s="15"/>
      <c r="H36" s="15"/>
    </row>
  </sheetData>
  <autoFilter ref="B7:H7"/>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5:K30"/>
  <sheetViews>
    <sheetView showFormulas="false" showGridLines="false" showRowColHeaders="true" showZeros="true" rightToLeft="false" tabSelected="false" showOutlineSymbols="true" defaultGridColor="true" view="normal" topLeftCell="A27" colorId="64" zoomScale="100" zoomScaleNormal="100" zoomScalePageLayoutView="100" workbookViewId="0">
      <selection pane="topLeft" activeCell="K19" activeCellId="0" sqref="K19"/>
    </sheetView>
  </sheetViews>
  <sheetFormatPr defaultColWidth="8.74609375" defaultRowHeight="12.75" zeroHeight="false" outlineLevelRow="0" outlineLevelCol="0"/>
  <cols>
    <col collapsed="false" customWidth="true" hidden="false" outlineLevel="0" max="1" min="1" style="1" width="5.71"/>
  </cols>
  <sheetData>
    <row r="5" customFormat="false" ht="18" hidden="false" customHeight="true" outlineLevel="0" collapsed="false">
      <c r="B5" s="2" t="s">
        <v>311</v>
      </c>
    </row>
    <row r="7" customFormat="false" ht="12.75" hidden="false" customHeight="true" outlineLevel="0" collapsed="false">
      <c r="B7" s="87" t="s">
        <v>312</v>
      </c>
    </row>
    <row r="30" customFormat="false" ht="12.75" hidden="false" customHeight="true" outlineLevel="0" collapsed="false">
      <c r="B30" s="87" t="s">
        <v>313</v>
      </c>
      <c r="K30" s="87" t="s">
        <v>314</v>
      </c>
    </row>
  </sheetData>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5: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5" activeCellId="0" sqref="J15"/>
    </sheetView>
  </sheetViews>
  <sheetFormatPr defaultColWidth="8.74609375" defaultRowHeight="12.75" zeroHeight="false" outlineLevelRow="0" outlineLevelCol="0"/>
  <cols>
    <col collapsed="false" customWidth="true" hidden="false" outlineLevel="0" max="1" min="1" style="1" width="4.72"/>
    <col collapsed="false" customWidth="true" hidden="false" outlineLevel="0" max="2" min="2" style="1" width="21.71"/>
    <col collapsed="false" customWidth="true" hidden="false" outlineLevel="0" max="3" min="3" style="1" width="54"/>
    <col collapsed="false" customWidth="true" hidden="false" outlineLevel="0" max="5" min="5" style="1" width="34.58"/>
    <col collapsed="false" customWidth="true" hidden="false" outlineLevel="0" max="6" min="6" style="1" width="53.29"/>
  </cols>
  <sheetData>
    <row r="5" customFormat="false" ht="18" hidden="false" customHeight="true" outlineLevel="0" collapsed="false">
      <c r="B5" s="2" t="s">
        <v>315</v>
      </c>
    </row>
    <row r="7" customFormat="false" ht="14.25" hidden="false" customHeight="true" outlineLevel="0" collapsed="false">
      <c r="B7" s="25" t="s">
        <v>316</v>
      </c>
      <c r="E7" s="25" t="s">
        <v>317</v>
      </c>
    </row>
    <row r="8" customFormat="false" ht="12.75" hidden="false" customHeight="true" outlineLevel="0" collapsed="false">
      <c r="B8" s="88" t="s">
        <v>33</v>
      </c>
      <c r="C8" s="88" t="s">
        <v>318</v>
      </c>
      <c r="E8" s="88" t="s">
        <v>33</v>
      </c>
      <c r="F8" s="88" t="s">
        <v>318</v>
      </c>
    </row>
    <row r="9" customFormat="false" ht="43.5" hidden="false" customHeight="true" outlineLevel="0" collapsed="false">
      <c r="B9" s="89" t="s">
        <v>319</v>
      </c>
      <c r="C9" s="90" t="s">
        <v>320</v>
      </c>
      <c r="E9" s="89" t="s">
        <v>321</v>
      </c>
      <c r="F9" s="91"/>
    </row>
    <row r="10" customFormat="false" ht="33" hidden="false" customHeight="true" outlineLevel="0" collapsed="false">
      <c r="B10" s="89" t="s">
        <v>322</v>
      </c>
      <c r="C10" s="90" t="s">
        <v>323</v>
      </c>
      <c r="E10" s="89" t="s">
        <v>324</v>
      </c>
      <c r="F10" s="89"/>
    </row>
    <row r="11" customFormat="false" ht="30.75" hidden="false" customHeight="true" outlineLevel="0" collapsed="false">
      <c r="B11" s="89"/>
      <c r="C11" s="89"/>
      <c r="E11" s="89" t="s">
        <v>325</v>
      </c>
      <c r="F11" s="90" t="s">
        <v>326</v>
      </c>
    </row>
    <row r="12" customFormat="false" ht="12.75" hidden="false" customHeight="true" outlineLevel="0" collapsed="false">
      <c r="B12" s="89"/>
      <c r="C12" s="89"/>
      <c r="E12" s="89"/>
      <c r="F12" s="89"/>
    </row>
    <row r="13" customFormat="false" ht="12.75" hidden="false" customHeight="true" outlineLevel="0" collapsed="false">
      <c r="B13" s="89"/>
      <c r="C13" s="89"/>
      <c r="E13" s="89"/>
      <c r="F13" s="89"/>
    </row>
    <row r="14" customFormat="false" ht="12.75" hidden="false" customHeight="true" outlineLevel="0" collapsed="false">
      <c r="B14" s="89"/>
      <c r="C14" s="89"/>
      <c r="E14" s="89"/>
      <c r="F14" s="89"/>
    </row>
    <row r="15" customFormat="false" ht="12.75" hidden="false" customHeight="true" outlineLevel="0" collapsed="false">
      <c r="B15" s="89"/>
      <c r="C15" s="89"/>
      <c r="E15" s="89"/>
      <c r="F15" s="89"/>
    </row>
    <row r="16" customFormat="false" ht="12.75" hidden="false" customHeight="true" outlineLevel="0" collapsed="false">
      <c r="B16" s="89"/>
      <c r="C16" s="89"/>
      <c r="E16" s="89"/>
      <c r="F16" s="89"/>
    </row>
    <row r="17" customFormat="false" ht="12.75" hidden="false" customHeight="true" outlineLevel="0" collapsed="false">
      <c r="B17" s="89"/>
      <c r="C17" s="89"/>
      <c r="E17" s="89"/>
      <c r="F17" s="89"/>
    </row>
    <row r="18" customFormat="false" ht="12.75" hidden="false" customHeight="true" outlineLevel="0" collapsed="false">
      <c r="B18" s="89"/>
      <c r="C18" s="89"/>
      <c r="E18" s="89"/>
      <c r="F18" s="89"/>
    </row>
    <row r="19" customFormat="false" ht="12.75" hidden="false" customHeight="true" outlineLevel="0" collapsed="false">
      <c r="B19" s="89"/>
      <c r="C19" s="89"/>
      <c r="E19" s="89"/>
      <c r="F19" s="89"/>
    </row>
    <row r="20" customFormat="false" ht="12.75" hidden="false" customHeight="true" outlineLevel="0" collapsed="false">
      <c r="B20" s="89"/>
      <c r="C20" s="89"/>
      <c r="E20" s="89"/>
      <c r="F20" s="89"/>
    </row>
    <row r="21" customFormat="false" ht="12.75" hidden="false" customHeight="true" outlineLevel="0" collapsed="false">
      <c r="B21" s="89"/>
      <c r="C21" s="89"/>
      <c r="E21" s="89"/>
      <c r="F21" s="89"/>
    </row>
    <row r="22" customFormat="false" ht="12.75" hidden="false" customHeight="true" outlineLevel="0" collapsed="false">
      <c r="B22" s="89"/>
      <c r="C22" s="89"/>
      <c r="E22" s="89"/>
      <c r="F22" s="89"/>
    </row>
    <row r="23" customFormat="false" ht="12.75" hidden="false" customHeight="true" outlineLevel="0" collapsed="false">
      <c r="B23" s="89"/>
      <c r="C23" s="89"/>
      <c r="E23" s="89"/>
      <c r="F23" s="89"/>
    </row>
    <row r="24" customFormat="false" ht="12.75" hidden="false" customHeight="true" outlineLevel="0" collapsed="false">
      <c r="B24" s="89"/>
      <c r="C24" s="89"/>
      <c r="E24" s="89"/>
      <c r="F24" s="89"/>
    </row>
    <row r="25" customFormat="false" ht="12.75" hidden="false" customHeight="true" outlineLevel="0" collapsed="false">
      <c r="B25" s="89"/>
      <c r="C25" s="89"/>
      <c r="E25" s="89"/>
      <c r="F25" s="89"/>
    </row>
    <row r="26" customFormat="false" ht="12.75" hidden="false" customHeight="true" outlineLevel="0" collapsed="false">
      <c r="B26" s="36"/>
      <c r="C26" s="36"/>
      <c r="E26" s="36"/>
      <c r="F26" s="36"/>
    </row>
    <row r="27" customFormat="false" ht="12.75" hidden="false" customHeight="true" outlineLevel="0" collapsed="false">
      <c r="B27" s="15"/>
      <c r="C27" s="15"/>
      <c r="E27" s="15"/>
      <c r="F27" s="15"/>
    </row>
    <row r="28" customFormat="false" ht="12.75" hidden="false" customHeight="true" outlineLevel="0" collapsed="false">
      <c r="B28" s="15"/>
      <c r="C28" s="15"/>
      <c r="E28" s="15"/>
      <c r="F28" s="15"/>
    </row>
    <row r="29" customFormat="false" ht="12.75" hidden="false" customHeight="true" outlineLevel="0" collapsed="false">
      <c r="B29" s="15"/>
      <c r="C29" s="15"/>
      <c r="E29" s="15"/>
      <c r="F29" s="15"/>
    </row>
    <row r="30" customFormat="false" ht="12.75" hidden="false" customHeight="true" outlineLevel="0" collapsed="false">
      <c r="B30" s="15"/>
      <c r="C30" s="15"/>
      <c r="E30" s="15"/>
      <c r="F30" s="15"/>
    </row>
    <row r="31" customFormat="false" ht="12.75" hidden="false" customHeight="true" outlineLevel="0" collapsed="false">
      <c r="B31" s="15"/>
      <c r="C31" s="15"/>
      <c r="E31" s="15"/>
      <c r="F31" s="15"/>
    </row>
    <row r="32" customFormat="false" ht="12.75" hidden="false" customHeight="true" outlineLevel="0" collapsed="false">
      <c r="B32" s="15"/>
      <c r="C32" s="15"/>
      <c r="E32" s="15"/>
      <c r="F32" s="15"/>
    </row>
  </sheetData>
  <hyperlinks>
    <hyperlink ref="C9" r:id="rId1" display="https://www.scrumalliance.org/community/articles/2007/march/glossary-of-scrum-terms"/>
    <hyperlink ref="C10" r:id="rId2" display="https://www.scrumalliance.org/community/articles/2007/"/>
    <hyperlink ref="F11" r:id="rId3" display="https://www.figma.com/make/bkBYzmTVkSLdKEk4ctR9Jw/Document-Tracking-System?t=UW0vMv0lCwRQjHGk-1"/>
  </hyperlinks>
  <printOptions headings="false" gridLines="false" gridLinesSet="true" horizontalCentered="tru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2018-12-26T04:30:06Z</dcterms:created>
  <dc:creator>Prashanth Krishnamurthy</dc:creator>
  <dc:description/>
  <dc:language>en-US</dc:language>
  <cp:lastModifiedBy/>
  <dcterms:modified xsi:type="dcterms:W3CDTF">2026-10-03T06:02:04Z</dcterms:modified>
  <cp:revision>4</cp:revision>
  <dc:subject/>
  <dc:title>Scrum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0x01010025AEBB61A702074F8E67AB36524107BA</vt:lpwstr>
  </property>
  <property fmtid="{D5CDD505-2E9C-101B-9397-08002B2CF9AE}" pid="3" name="MediaServiceImageTags">
    <vt:lpwstr/>
  </property>
</Properties>
</file>